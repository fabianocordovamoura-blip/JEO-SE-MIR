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fabiano.moura\Downloads\"/>
    </mc:Choice>
  </mc:AlternateContent>
  <xr:revisionPtr revIDLastSave="0" documentId="13_ncr:1_{543F194A-5BC6-4E4B-A3DE-5BEFFF39791D}" xr6:coauthVersionLast="47" xr6:coauthVersionMax="47" xr10:uidLastSave="{00000000-0000-0000-0000-000000000000}"/>
  <bookViews>
    <workbookView xWindow="-120" yWindow="-120" windowWidth="29040" windowHeight="15720" tabRatio="728" firstSheet="1" activeTab="2" xr2:uid="{D523424E-2CD4-4DC0-8994-7A7CE279782B}"/>
  </bookViews>
  <sheets>
    <sheet name="SEC.EXEC." sheetId="7" state="hidden" r:id="rId1"/>
    <sheet name="LIMITE DE MOVIMENTAÇÃO EMPENHO" sheetId="40" r:id="rId2"/>
    <sheet name="Consolidado 2026" sheetId="10" r:id="rId3"/>
    <sheet name="2000 - SE" sheetId="27" r:id="rId4"/>
    <sheet name="216H - SE" sheetId="36" r:id="rId5"/>
    <sheet name="21FC - SENAPIR" sheetId="33" r:id="rId6"/>
    <sheet name="21FE - SQPT" sheetId="31" r:id="rId7"/>
    <sheet name="21FF - SEPAR" sheetId="32" r:id="rId8"/>
    <sheet name="Planilha8" sheetId="26" state="hidden" r:id="rId9"/>
    <sheet name="Restos a Pagar" sheetId="15" state="hidden" r:id="rId10"/>
    <sheet name="EMENDAS PARLAMENTARES" sheetId="11" state="hidden" r:id="rId11"/>
    <sheet name="DIÁRIAS E PASSAGENS - SCDP" sheetId="12" state="hidden" r:id="rId12"/>
    <sheet name="_56F9DC9755BA473782653E2940F9" sheetId="17" state="veryHidden" r:id="rId13"/>
    <sheet name="21FG - CNPIR" sheetId="34" r:id="rId14"/>
    <sheet name="21HN - SEPAR" sheetId="35" r:id="rId15"/>
    <sheet name="21HN - OUV" sheetId="38" r:id="rId16"/>
    <sheet name="4641- SE" sheetId="30" r:id="rId17"/>
    <sheet name="Planilha1" sheetId="14" state="hidden" r:id="rId18"/>
    <sheet name="Consolidado - Emendas RP6" sheetId="20" state="hidden" r:id="rId19"/>
    <sheet name="Diárias e Passagens" sheetId="39" r:id="rId20"/>
  </sheets>
  <definedNames>
    <definedName name="_56F9DC9755BA473782653E2940F9FormId">"eLGl-_E6IESWa79RY-ax2iuoN7rWI-dLhfbHv3sOlYFUM0Y0RTFLQTE3WUtYV1pQOTgwNUEySkFJSiQlQCN0PWcu"</definedName>
    <definedName name="_56F9DC9755BA473782653E2940F9ResponseSheet">"Form1"</definedName>
    <definedName name="_56F9DC9755BA473782653E2940F9SourceDocId">"{f62d1b90-5b8b-47b9-9246-cc08b8118503}"</definedName>
    <definedName name="_xlnm._FilterDatabase" localSheetId="3" hidden="1">'2000 - SE'!$A$2:$J$15</definedName>
    <definedName name="_xlnm._FilterDatabase" localSheetId="4" hidden="1">'216H - SE'!#REF!</definedName>
    <definedName name="_xlnm._FilterDatabase" localSheetId="5" hidden="1">'21FC - SENAPIR'!$A$2:$S$41</definedName>
    <definedName name="_xlnm._FilterDatabase" localSheetId="6" hidden="1">'21FE - SQPT'!$A$2:$W$42</definedName>
    <definedName name="_xlnm._FilterDatabase" localSheetId="7" hidden="1">'21FF - SEPAR'!$B$2:$S$9</definedName>
    <definedName name="_xlnm._FilterDatabase" localSheetId="13" hidden="1">'21FG - CNPIR'!$A$2:$S$2</definedName>
    <definedName name="_xlnm._FilterDatabase" localSheetId="15" hidden="1">'21HN - OUV'!$A$2:$J$15</definedName>
    <definedName name="_xlnm._FilterDatabase" localSheetId="14" hidden="1">'21HN - SEPAR'!$B$2:$S$27</definedName>
    <definedName name="_xlnm._FilterDatabase" localSheetId="16" hidden="1">'4641- SE'!#REF!</definedName>
    <definedName name="_xlnm._FilterDatabase" localSheetId="19" hidden="1">'Diárias e Passagens'!$A$1:$G$1</definedName>
    <definedName name="_xlnm._FilterDatabase" localSheetId="10" hidden="1">'EMENDAS PARLAMENTARES'!$A$2:$AB$3</definedName>
    <definedName name="_xlnm.Print_Area" localSheetId="5">'21FC - SENAPIR'!$A$3:$S$41</definedName>
    <definedName name="_xlnm.Print_Area" localSheetId="6">'21FE - SQPT'!$A$1:$S$42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0" l="1"/>
  <c r="L15" i="10"/>
  <c r="L16" i="10"/>
  <c r="L13" i="10"/>
  <c r="L18" i="10"/>
  <c r="L19" i="10"/>
  <c r="L20" i="10"/>
  <c r="L17" i="10"/>
  <c r="L12" i="10"/>
  <c r="L24" i="10"/>
  <c r="L22" i="10"/>
  <c r="L21" i="10"/>
  <c r="L27" i="10"/>
  <c r="L28" i="10"/>
  <c r="L29" i="10"/>
  <c r="L30" i="10"/>
  <c r="L31" i="10"/>
  <c r="L26" i="10"/>
  <c r="L25" i="10"/>
  <c r="L34" i="10"/>
  <c r="L35" i="10"/>
  <c r="L36" i="10"/>
  <c r="L37" i="10"/>
  <c r="L38" i="10"/>
  <c r="L39" i="10"/>
  <c r="L40" i="10"/>
  <c r="L33" i="10"/>
  <c r="L32" i="10"/>
  <c r="L43" i="10"/>
  <c r="L42" i="10"/>
  <c r="L41" i="10"/>
  <c r="L46" i="10"/>
  <c r="L47" i="10"/>
  <c r="L48" i="10"/>
  <c r="L49" i="10"/>
  <c r="L50" i="10"/>
  <c r="L51" i="10"/>
  <c r="L52" i="10"/>
  <c r="L53" i="10"/>
  <c r="L54" i="10"/>
  <c r="L45" i="10"/>
  <c r="L56" i="10"/>
  <c r="L55" i="10"/>
  <c r="L44" i="10"/>
  <c r="L10" i="10"/>
  <c r="D4" i="10"/>
  <c r="C2" i="40"/>
  <c r="K15" i="10"/>
  <c r="K16" i="10"/>
  <c r="K13" i="10"/>
  <c r="K18" i="10"/>
  <c r="K19" i="10"/>
  <c r="K20" i="10"/>
  <c r="K17" i="10"/>
  <c r="K12" i="10"/>
  <c r="K24" i="10"/>
  <c r="K22" i="10"/>
  <c r="K21" i="10"/>
  <c r="K27" i="10"/>
  <c r="K28" i="10"/>
  <c r="K29" i="10"/>
  <c r="K30" i="10"/>
  <c r="K26" i="10"/>
  <c r="K25" i="10"/>
  <c r="K34" i="10"/>
  <c r="K35" i="10"/>
  <c r="K36" i="10"/>
  <c r="K37" i="10"/>
  <c r="K38" i="10"/>
  <c r="K39" i="10"/>
  <c r="K40" i="10"/>
  <c r="K33" i="10"/>
  <c r="K32" i="10"/>
  <c r="K43" i="10"/>
  <c r="K42" i="10"/>
  <c r="K41" i="10"/>
  <c r="K46" i="10"/>
  <c r="K47" i="10"/>
  <c r="K48" i="10"/>
  <c r="K49" i="10"/>
  <c r="K50" i="10"/>
  <c r="K51" i="10"/>
  <c r="K52" i="10"/>
  <c r="K53" i="10"/>
  <c r="K54" i="10"/>
  <c r="K45" i="10"/>
  <c r="K56" i="10"/>
  <c r="K55" i="10"/>
  <c r="K44" i="10"/>
  <c r="K10" i="10"/>
  <c r="C4" i="10"/>
  <c r="B2" i="40"/>
  <c r="A2" i="40"/>
  <c r="D2" i="40"/>
  <c r="G2" i="40"/>
  <c r="E2" i="40"/>
  <c r="D45" i="39"/>
  <c r="E45" i="39"/>
  <c r="F45" i="39"/>
  <c r="D46" i="39"/>
  <c r="E46" i="39"/>
  <c r="F46" i="39"/>
  <c r="L40" i="31"/>
  <c r="B4" i="10"/>
  <c r="H15" i="10"/>
  <c r="H14" i="10"/>
  <c r="I39" i="10"/>
  <c r="J17" i="10"/>
  <c r="L6" i="33"/>
  <c r="L39" i="33"/>
  <c r="F57" i="10"/>
  <c r="F55" i="10"/>
  <c r="F45" i="10"/>
  <c r="F44" i="10"/>
  <c r="F42" i="10"/>
  <c r="F41" i="10"/>
  <c r="F33" i="10"/>
  <c r="F32" i="10"/>
  <c r="F26" i="10"/>
  <c r="F25" i="10"/>
  <c r="F22" i="10"/>
  <c r="F21" i="10"/>
  <c r="F17" i="10"/>
  <c r="F13" i="10"/>
  <c r="M39" i="33"/>
  <c r="O40" i="31"/>
  <c r="N40" i="31"/>
  <c r="V28" i="10"/>
  <c r="V27" i="10"/>
  <c r="V29" i="10"/>
  <c r="V30" i="10"/>
  <c r="N28" i="10"/>
  <c r="M27" i="10"/>
  <c r="N27" i="10"/>
  <c r="M28" i="10"/>
  <c r="F12" i="10"/>
  <c r="F10" i="10"/>
  <c r="L25" i="35"/>
  <c r="O45" i="39"/>
  <c r="O31" i="39"/>
  <c r="O32" i="39"/>
  <c r="O33" i="39"/>
  <c r="G45" i="39"/>
  <c r="F33" i="39"/>
  <c r="E33" i="39"/>
  <c r="D33" i="39"/>
  <c r="F32" i="39"/>
  <c r="E32" i="39"/>
  <c r="D32" i="39"/>
  <c r="F27" i="39"/>
  <c r="E27" i="39"/>
  <c r="D27" i="39"/>
  <c r="F24" i="39"/>
  <c r="E24" i="39"/>
  <c r="D24" i="39"/>
  <c r="H28" i="10"/>
  <c r="G13" i="10"/>
  <c r="G17" i="10"/>
  <c r="G22" i="10"/>
  <c r="G21" i="10"/>
  <c r="G26" i="10"/>
  <c r="G25" i="10"/>
  <c r="G33" i="10"/>
  <c r="G32" i="10"/>
  <c r="G42" i="10"/>
  <c r="G41" i="10"/>
  <c r="G45" i="10"/>
  <c r="G55" i="10"/>
  <c r="G57" i="10"/>
  <c r="O12" i="39"/>
  <c r="O65" i="39"/>
  <c r="O25" i="35"/>
  <c r="N25" i="35"/>
  <c r="M25" i="35"/>
  <c r="L7" i="32"/>
  <c r="F12" i="39"/>
  <c r="E12" i="39"/>
  <c r="D12" i="39"/>
  <c r="O64" i="39"/>
  <c r="O63" i="39"/>
  <c r="O62" i="39"/>
  <c r="M40" i="31"/>
  <c r="O59" i="39"/>
  <c r="O60" i="39"/>
  <c r="O61" i="39"/>
  <c r="O4" i="39"/>
  <c r="O5" i="39"/>
  <c r="O6" i="39"/>
  <c r="O7" i="39"/>
  <c r="O8" i="39"/>
  <c r="O9" i="39"/>
  <c r="O10" i="39"/>
  <c r="O11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4" i="39"/>
  <c r="O35" i="39"/>
  <c r="O36" i="39"/>
  <c r="O37" i="39"/>
  <c r="O38" i="39"/>
  <c r="O39" i="39"/>
  <c r="O40" i="39"/>
  <c r="O41" i="39"/>
  <c r="O42" i="39"/>
  <c r="O43" i="39"/>
  <c r="O44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D7" i="39"/>
  <c r="E39" i="39"/>
  <c r="E52" i="39"/>
  <c r="E20" i="39"/>
  <c r="F9" i="39"/>
  <c r="E64" i="39"/>
  <c r="E94" i="39"/>
  <c r="E60" i="39"/>
  <c r="D94" i="39"/>
  <c r="D93" i="39"/>
  <c r="E93" i="39"/>
  <c r="F93" i="39"/>
  <c r="D92" i="39"/>
  <c r="E92" i="39"/>
  <c r="F92" i="39"/>
  <c r="D91" i="39"/>
  <c r="E91" i="39"/>
  <c r="F91" i="39"/>
  <c r="D90" i="39"/>
  <c r="E90" i="39"/>
  <c r="F90" i="39"/>
  <c r="D88" i="39"/>
  <c r="E88" i="39"/>
  <c r="F88" i="39"/>
  <c r="D87" i="39"/>
  <c r="E87" i="39"/>
  <c r="F87" i="39"/>
  <c r="D86" i="39"/>
  <c r="E86" i="39"/>
  <c r="F86" i="39"/>
  <c r="D84" i="39"/>
  <c r="E84" i="39"/>
  <c r="F84" i="39"/>
  <c r="D83" i="39"/>
  <c r="E83" i="39"/>
  <c r="F83" i="39"/>
  <c r="D80" i="39"/>
  <c r="E80" i="39"/>
  <c r="F80" i="39"/>
  <c r="D79" i="39"/>
  <c r="E79" i="39"/>
  <c r="F79" i="39"/>
  <c r="D77" i="39"/>
  <c r="D76" i="39"/>
  <c r="E77" i="39"/>
  <c r="E76" i="39"/>
  <c r="F77" i="39"/>
  <c r="D75" i="39"/>
  <c r="E75" i="39"/>
  <c r="F75" i="39"/>
  <c r="D74" i="39"/>
  <c r="E74" i="39"/>
  <c r="E73" i="39"/>
  <c r="F74" i="39"/>
  <c r="D72" i="39"/>
  <c r="D71" i="39"/>
  <c r="E72" i="39"/>
  <c r="F72" i="39"/>
  <c r="F71" i="39"/>
  <c r="D70" i="39"/>
  <c r="D69" i="39"/>
  <c r="E70" i="39"/>
  <c r="F70" i="39"/>
  <c r="F69" i="39"/>
  <c r="D67" i="39"/>
  <c r="E67" i="39"/>
  <c r="F67" i="39"/>
  <c r="D66" i="39"/>
  <c r="E66" i="39"/>
  <c r="F66" i="39"/>
  <c r="D64" i="39"/>
  <c r="D63" i="39"/>
  <c r="E63" i="39"/>
  <c r="F63" i="39"/>
  <c r="D61" i="39"/>
  <c r="E61" i="39"/>
  <c r="G61" i="39"/>
  <c r="F61" i="39"/>
  <c r="D60" i="39"/>
  <c r="G60" i="39"/>
  <c r="D59" i="39"/>
  <c r="E59" i="39"/>
  <c r="F59" i="39"/>
  <c r="D58" i="39"/>
  <c r="E58" i="39"/>
  <c r="F58" i="39"/>
  <c r="D56" i="39"/>
  <c r="E56" i="39"/>
  <c r="F56" i="39"/>
  <c r="D55" i="39"/>
  <c r="E55" i="39"/>
  <c r="F55" i="39"/>
  <c r="D53" i="39"/>
  <c r="E53" i="39"/>
  <c r="E51" i="39"/>
  <c r="F53" i="39"/>
  <c r="D52" i="39"/>
  <c r="D49" i="39"/>
  <c r="D48" i="39"/>
  <c r="E49" i="39"/>
  <c r="E48" i="39"/>
  <c r="F49" i="39"/>
  <c r="F48" i="39"/>
  <c r="D47" i="39"/>
  <c r="E47" i="39"/>
  <c r="F47" i="39"/>
  <c r="D44" i="39"/>
  <c r="E44" i="39"/>
  <c r="E43" i="39"/>
  <c r="F44" i="39"/>
  <c r="F43" i="39"/>
  <c r="D42" i="39"/>
  <c r="D41" i="39"/>
  <c r="E42" i="39"/>
  <c r="F42" i="39"/>
  <c r="F41" i="39"/>
  <c r="D40" i="39"/>
  <c r="E40" i="39"/>
  <c r="F40" i="39"/>
  <c r="D39" i="39"/>
  <c r="G39" i="39"/>
  <c r="D36" i="39"/>
  <c r="E36" i="39"/>
  <c r="G36" i="39"/>
  <c r="F36" i="39"/>
  <c r="D35" i="39"/>
  <c r="D34" i="39"/>
  <c r="E35" i="39"/>
  <c r="F35" i="39"/>
  <c r="D30" i="39"/>
  <c r="E30" i="39"/>
  <c r="F30" i="39"/>
  <c r="D29" i="39"/>
  <c r="D28" i="39"/>
  <c r="E29" i="39"/>
  <c r="F29" i="39"/>
  <c r="D25" i="39"/>
  <c r="D23" i="39"/>
  <c r="E25" i="39"/>
  <c r="E23" i="39"/>
  <c r="G23" i="39"/>
  <c r="F25" i="39"/>
  <c r="F23" i="39"/>
  <c r="D22" i="39"/>
  <c r="D21" i="39"/>
  <c r="E22" i="39"/>
  <c r="E21" i="39"/>
  <c r="F22" i="39"/>
  <c r="F21" i="39"/>
  <c r="D20" i="39"/>
  <c r="D19" i="39"/>
  <c r="D18" i="39"/>
  <c r="E19" i="39"/>
  <c r="F19" i="39"/>
  <c r="D16" i="39"/>
  <c r="E16" i="39"/>
  <c r="E15" i="39"/>
  <c r="F16" i="39"/>
  <c r="F15" i="39"/>
  <c r="D14" i="39"/>
  <c r="D13" i="39"/>
  <c r="E14" i="39"/>
  <c r="E13" i="39"/>
  <c r="F14" i="39"/>
  <c r="F13" i="39"/>
  <c r="D11" i="39"/>
  <c r="D10" i="39"/>
  <c r="E11" i="39"/>
  <c r="E10" i="39"/>
  <c r="F11" i="39"/>
  <c r="F10" i="39"/>
  <c r="D9" i="39"/>
  <c r="D8" i="39"/>
  <c r="F7" i="39"/>
  <c r="F6" i="39"/>
  <c r="E7" i="39"/>
  <c r="E6" i="39"/>
  <c r="H31" i="10"/>
  <c r="H30" i="10"/>
  <c r="H29" i="10"/>
  <c r="H27" i="10"/>
  <c r="D78" i="39"/>
  <c r="D73" i="39"/>
  <c r="F52" i="39"/>
  <c r="F51" i="39"/>
  <c r="F94" i="39"/>
  <c r="E9" i="39"/>
  <c r="G9" i="39"/>
  <c r="F64" i="39"/>
  <c r="F62" i="39"/>
  <c r="F20" i="39"/>
  <c r="F39" i="39"/>
  <c r="F60" i="39"/>
  <c r="E62" i="39"/>
  <c r="V20" i="10"/>
  <c r="C17" i="10"/>
  <c r="E17" i="10"/>
  <c r="H20" i="10"/>
  <c r="B14" i="20"/>
  <c r="G79" i="39"/>
  <c r="H53" i="10"/>
  <c r="H52" i="10"/>
  <c r="H51" i="10"/>
  <c r="H54" i="10"/>
  <c r="H50" i="10"/>
  <c r="H49" i="10"/>
  <c r="H48" i="10"/>
  <c r="H47" i="10"/>
  <c r="H46" i="10"/>
  <c r="H43" i="10"/>
  <c r="H42" i="10"/>
  <c r="H41" i="10"/>
  <c r="L18" i="34"/>
  <c r="L19" i="34"/>
  <c r="H38" i="10"/>
  <c r="H35" i="10"/>
  <c r="H24" i="10"/>
  <c r="H22" i="10"/>
  <c r="H21" i="10"/>
  <c r="L14" i="38"/>
  <c r="L15" i="38"/>
  <c r="H18" i="10"/>
  <c r="H16" i="10"/>
  <c r="H13" i="10"/>
  <c r="G87" i="39"/>
  <c r="I57" i="10"/>
  <c r="E55" i="10"/>
  <c r="D45" i="10"/>
  <c r="E45" i="10"/>
  <c r="C45" i="10"/>
  <c r="C55" i="10"/>
  <c r="C57" i="10"/>
  <c r="C44" i="10"/>
  <c r="D55" i="10"/>
  <c r="J45" i="10"/>
  <c r="C33" i="10"/>
  <c r="C26" i="10"/>
  <c r="C25" i="10"/>
  <c r="H37" i="10"/>
  <c r="H36" i="10"/>
  <c r="H39" i="10"/>
  <c r="H19" i="10"/>
  <c r="D17" i="10"/>
  <c r="D42" i="10"/>
  <c r="D41" i="10"/>
  <c r="F21" i="20"/>
  <c r="E20" i="20"/>
  <c r="D20" i="20"/>
  <c r="C20" i="20"/>
  <c r="B20" i="20"/>
  <c r="E19" i="20"/>
  <c r="D19" i="20"/>
  <c r="C19" i="20"/>
  <c r="B19" i="20"/>
  <c r="E82" i="39"/>
  <c r="F82" i="39"/>
  <c r="D82" i="39"/>
  <c r="G86" i="39"/>
  <c r="K58" i="10"/>
  <c r="K57" i="10"/>
  <c r="J57" i="10"/>
  <c r="J55" i="10"/>
  <c r="J42" i="10"/>
  <c r="J41" i="10"/>
  <c r="J33" i="10"/>
  <c r="J32" i="10"/>
  <c r="J26" i="10"/>
  <c r="J25" i="10"/>
  <c r="J22" i="10"/>
  <c r="J21" i="10"/>
  <c r="J13" i="10"/>
  <c r="J12" i="10"/>
  <c r="H58" i="10"/>
  <c r="H56" i="10"/>
  <c r="H55" i="10"/>
  <c r="L9" i="36"/>
  <c r="L10" i="36"/>
  <c r="L57" i="10"/>
  <c r="M57" i="10"/>
  <c r="N57" i="10"/>
  <c r="G94" i="39"/>
  <c r="D89" i="39"/>
  <c r="D85" i="39"/>
  <c r="D81" i="39"/>
  <c r="N39" i="33"/>
  <c r="O39" i="33"/>
  <c r="E26" i="10"/>
  <c r="E25" i="10"/>
  <c r="D6" i="39"/>
  <c r="F8" i="39"/>
  <c r="D15" i="39"/>
  <c r="G19" i="39"/>
  <c r="G24" i="39"/>
  <c r="D26" i="39"/>
  <c r="E26" i="39"/>
  <c r="F26" i="39"/>
  <c r="G27" i="39"/>
  <c r="E41" i="39"/>
  <c r="G52" i="39"/>
  <c r="D54" i="39"/>
  <c r="G56" i="39"/>
  <c r="E57" i="39"/>
  <c r="G58" i="39"/>
  <c r="D62" i="39"/>
  <c r="G63" i="39"/>
  <c r="D65" i="39"/>
  <c r="F65" i="39"/>
  <c r="G66" i="39"/>
  <c r="G67" i="39"/>
  <c r="E69" i="39"/>
  <c r="G69" i="39"/>
  <c r="G70" i="39"/>
  <c r="E71" i="39"/>
  <c r="G75" i="39"/>
  <c r="F76" i="39"/>
  <c r="G83" i="39"/>
  <c r="G90" i="39"/>
  <c r="G92" i="39"/>
  <c r="O7" i="32"/>
  <c r="N7" i="32"/>
  <c r="M7" i="32"/>
  <c r="M13" i="27"/>
  <c r="M17" i="34"/>
  <c r="V56" i="10"/>
  <c r="L8" i="36"/>
  <c r="O8" i="36"/>
  <c r="N8" i="36"/>
  <c r="M8" i="36"/>
  <c r="O7" i="30"/>
  <c r="N7" i="30"/>
  <c r="M7" i="30"/>
  <c r="O13" i="38"/>
  <c r="N13" i="38"/>
  <c r="M13" i="38"/>
  <c r="L13" i="38"/>
  <c r="O13" i="27"/>
  <c r="N13" i="27"/>
  <c r="L13" i="27"/>
  <c r="V54" i="10"/>
  <c r="V53" i="10"/>
  <c r="V52" i="10"/>
  <c r="V51" i="10"/>
  <c r="V50" i="10"/>
  <c r="V49" i="10"/>
  <c r="V48" i="10"/>
  <c r="V47" i="10"/>
  <c r="V46" i="10"/>
  <c r="V31" i="10"/>
  <c r="V24" i="10"/>
  <c r="V19" i="10"/>
  <c r="V18" i="10"/>
  <c r="V16" i="10"/>
  <c r="V15" i="10"/>
  <c r="I15" i="10"/>
  <c r="V14" i="10"/>
  <c r="E57" i="10"/>
  <c r="D57" i="10"/>
  <c r="D22" i="10"/>
  <c r="D21" i="10"/>
  <c r="D26" i="10"/>
  <c r="D25" i="10"/>
  <c r="E42" i="10"/>
  <c r="E41" i="10"/>
  <c r="D33" i="10"/>
  <c r="D32" i="10"/>
  <c r="D13" i="10"/>
  <c r="D12" i="10"/>
  <c r="E22" i="10"/>
  <c r="E21" i="10"/>
  <c r="C13" i="10"/>
  <c r="C22" i="10"/>
  <c r="C21" i="10"/>
  <c r="O17" i="34"/>
  <c r="N17" i="34"/>
  <c r="L17" i="34"/>
  <c r="F29" i="15"/>
  <c r="E29" i="15"/>
  <c r="F22" i="15"/>
  <c r="E22" i="15"/>
  <c r="F20" i="15"/>
  <c r="E20" i="15"/>
  <c r="F17" i="15"/>
  <c r="E17" i="15"/>
  <c r="F10" i="15"/>
  <c r="E10" i="15"/>
  <c r="C42" i="10"/>
  <c r="C41" i="10"/>
  <c r="E74" i="12"/>
  <c r="E73" i="12"/>
  <c r="E71" i="12"/>
  <c r="E69" i="12"/>
  <c r="E67" i="12"/>
  <c r="E66" i="12"/>
  <c r="E64" i="12"/>
  <c r="E63" i="12"/>
  <c r="E61" i="12"/>
  <c r="E58" i="12"/>
  <c r="E57" i="12"/>
  <c r="E56" i="12"/>
  <c r="E54" i="12"/>
  <c r="E53" i="12"/>
  <c r="E52" i="12"/>
  <c r="E50" i="12"/>
  <c r="E49" i="12"/>
  <c r="E48" i="12"/>
  <c r="E47" i="12"/>
  <c r="E46" i="12"/>
  <c r="E44" i="12"/>
  <c r="E43" i="12"/>
  <c r="E42" i="12"/>
  <c r="E40" i="12"/>
  <c r="E39" i="12"/>
  <c r="E38" i="12"/>
  <c r="E35" i="12"/>
  <c r="E33" i="12"/>
  <c r="E31" i="12"/>
  <c r="E30" i="12"/>
  <c r="E28" i="12"/>
  <c r="E26" i="12"/>
  <c r="E23" i="12"/>
  <c r="E21" i="12"/>
  <c r="E19" i="12"/>
  <c r="E18" i="12"/>
  <c r="E16" i="12"/>
  <c r="E14" i="12"/>
  <c r="E13" i="12"/>
  <c r="E11" i="12"/>
  <c r="E9" i="12"/>
  <c r="E12" i="15"/>
  <c r="E24" i="15"/>
  <c r="F12" i="15"/>
  <c r="D32" i="12"/>
  <c r="E32" i="12"/>
  <c r="F32" i="12"/>
  <c r="G32" i="12"/>
  <c r="F17" i="12"/>
  <c r="G19" i="12"/>
  <c r="G26" i="12"/>
  <c r="G13" i="12"/>
  <c r="G9" i="12"/>
  <c r="G67" i="12"/>
  <c r="G31" i="12"/>
  <c r="F8" i="20"/>
  <c r="F18" i="20"/>
  <c r="E17" i="20"/>
  <c r="E16" i="20"/>
  <c r="D17" i="20"/>
  <c r="C17" i="20"/>
  <c r="C16" i="20"/>
  <c r="B17" i="20"/>
  <c r="B16" i="20"/>
  <c r="D16" i="20"/>
  <c r="F15" i="20"/>
  <c r="E14" i="20"/>
  <c r="E13" i="20"/>
  <c r="D14" i="20"/>
  <c r="D13" i="20"/>
  <c r="C14" i="20"/>
  <c r="C13" i="20"/>
  <c r="B13" i="20"/>
  <c r="F12" i="20"/>
  <c r="E11" i="20"/>
  <c r="D11" i="20"/>
  <c r="C11" i="20"/>
  <c r="B11" i="20"/>
  <c r="F10" i="20"/>
  <c r="E9" i="20"/>
  <c r="D9" i="20"/>
  <c r="C9" i="20"/>
  <c r="B9" i="20"/>
  <c r="E7" i="20"/>
  <c r="D7" i="20"/>
  <c r="C7" i="20"/>
  <c r="B7" i="20"/>
  <c r="B6" i="20"/>
  <c r="B4" i="20"/>
  <c r="D6" i="20"/>
  <c r="J24" i="7"/>
  <c r="J22" i="7"/>
  <c r="J20" i="7"/>
  <c r="J17" i="7"/>
  <c r="J15" i="7"/>
  <c r="J12" i="7"/>
  <c r="J10" i="7"/>
  <c r="J8" i="7"/>
  <c r="J6" i="7"/>
  <c r="G11" i="12"/>
  <c r="G14" i="12"/>
  <c r="G16" i="12"/>
  <c r="G18" i="12"/>
  <c r="G21" i="12"/>
  <c r="G23" i="12"/>
  <c r="G28" i="12"/>
  <c r="G30" i="12"/>
  <c r="G33" i="12"/>
  <c r="G35" i="12"/>
  <c r="G38" i="12"/>
  <c r="G39" i="12"/>
  <c r="G40" i="12"/>
  <c r="G42" i="12"/>
  <c r="G43" i="12"/>
  <c r="G44" i="12"/>
  <c r="G46" i="12"/>
  <c r="G47" i="12"/>
  <c r="G48" i="12"/>
  <c r="G49" i="12"/>
  <c r="G50" i="12"/>
  <c r="G52" i="12"/>
  <c r="G53" i="12"/>
  <c r="G54" i="12"/>
  <c r="G56" i="12"/>
  <c r="G57" i="12"/>
  <c r="G58" i="12"/>
  <c r="G61" i="12"/>
  <c r="G63" i="12"/>
  <c r="G64" i="12"/>
  <c r="G66" i="12"/>
  <c r="G69" i="12"/>
  <c r="G71" i="12"/>
  <c r="G73" i="12"/>
  <c r="G74" i="12"/>
  <c r="Q10" i="11"/>
  <c r="R10" i="11"/>
  <c r="S10" i="11"/>
  <c r="D72" i="12"/>
  <c r="AA78" i="12"/>
  <c r="D62" i="12"/>
  <c r="E62" i="12"/>
  <c r="G62" i="12"/>
  <c r="F62" i="12"/>
  <c r="G20" i="7"/>
  <c r="H20" i="7"/>
  <c r="I20" i="7"/>
  <c r="F20" i="7"/>
  <c r="F17" i="7"/>
  <c r="J18" i="7"/>
  <c r="J25" i="7"/>
  <c r="F7" i="20"/>
  <c r="F9" i="20"/>
  <c r="E72" i="12"/>
  <c r="G72" i="12"/>
  <c r="F72" i="12"/>
  <c r="E22" i="12"/>
  <c r="E17" i="12"/>
  <c r="E15" i="12"/>
  <c r="E12" i="12"/>
  <c r="E10" i="12"/>
  <c r="E8" i="12"/>
  <c r="AA77" i="12"/>
  <c r="AB77" i="12"/>
  <c r="AB78" i="12"/>
  <c r="AA73" i="12"/>
  <c r="AB73" i="12"/>
  <c r="AB74" i="12"/>
  <c r="D8" i="12"/>
  <c r="G8" i="12"/>
  <c r="F8" i="12"/>
  <c r="D10" i="12"/>
  <c r="G10" i="12"/>
  <c r="F10" i="12"/>
  <c r="D12" i="12"/>
  <c r="G12" i="12"/>
  <c r="F12" i="12"/>
  <c r="D15" i="12"/>
  <c r="G15" i="12"/>
  <c r="F15" i="12"/>
  <c r="D17" i="12"/>
  <c r="G17" i="12"/>
  <c r="D20" i="12"/>
  <c r="E20" i="12"/>
  <c r="G20" i="12"/>
  <c r="F20" i="12"/>
  <c r="D22" i="12"/>
  <c r="G22" i="12"/>
  <c r="F22" i="12"/>
  <c r="D25" i="12"/>
  <c r="E25" i="12"/>
  <c r="G25" i="12"/>
  <c r="F25" i="12"/>
  <c r="D27" i="12"/>
  <c r="E27" i="12"/>
  <c r="G27" i="12"/>
  <c r="F27" i="12"/>
  <c r="D29" i="12"/>
  <c r="E29" i="12"/>
  <c r="G29" i="12"/>
  <c r="F29" i="12"/>
  <c r="D34" i="12"/>
  <c r="E34" i="12"/>
  <c r="G34" i="12"/>
  <c r="F34" i="12"/>
  <c r="D37" i="12"/>
  <c r="E37" i="12"/>
  <c r="G37" i="12"/>
  <c r="F37" i="12"/>
  <c r="D41" i="12"/>
  <c r="E41" i="12"/>
  <c r="G41" i="12"/>
  <c r="F41" i="12"/>
  <c r="D45" i="12"/>
  <c r="E45" i="12"/>
  <c r="G45" i="12"/>
  <c r="F45" i="12"/>
  <c r="D51" i="12"/>
  <c r="E51" i="12"/>
  <c r="G51" i="12"/>
  <c r="F51" i="12"/>
  <c r="D55" i="12"/>
  <c r="E55" i="12"/>
  <c r="G55" i="12"/>
  <c r="F55" i="12"/>
  <c r="D60" i="12"/>
  <c r="E60" i="12"/>
  <c r="G60" i="12"/>
  <c r="F60" i="12"/>
  <c r="D65" i="12"/>
  <c r="E65" i="12"/>
  <c r="G65" i="12"/>
  <c r="F65" i="12"/>
  <c r="D68" i="12"/>
  <c r="E68" i="12"/>
  <c r="G68" i="12"/>
  <c r="F68" i="12"/>
  <c r="D70" i="12"/>
  <c r="E70" i="12"/>
  <c r="G70" i="12"/>
  <c r="F70" i="12"/>
  <c r="H17" i="7"/>
  <c r="H15" i="7"/>
  <c r="H12" i="7"/>
  <c r="H10" i="7"/>
  <c r="H8" i="7"/>
  <c r="H6" i="7"/>
  <c r="G24" i="7"/>
  <c r="H24" i="7"/>
  <c r="I24" i="7"/>
  <c r="G22" i="7"/>
  <c r="H22" i="7"/>
  <c r="I22" i="7"/>
  <c r="G17" i="7"/>
  <c r="I17" i="7"/>
  <c r="G15" i="7"/>
  <c r="I15" i="7"/>
  <c r="G12" i="7"/>
  <c r="I12" i="7"/>
  <c r="G10" i="7"/>
  <c r="I10" i="7"/>
  <c r="G8" i="7"/>
  <c r="I8" i="7"/>
  <c r="G6" i="7"/>
  <c r="G18" i="7"/>
  <c r="I6" i="7"/>
  <c r="F24" i="7"/>
  <c r="F22" i="7"/>
  <c r="F12" i="7"/>
  <c r="F10" i="7"/>
  <c r="F8" i="7"/>
  <c r="F15" i="7"/>
  <c r="F6" i="7"/>
  <c r="C32" i="10"/>
  <c r="I18" i="7"/>
  <c r="I25" i="7"/>
  <c r="H18" i="7"/>
  <c r="H25" i="7"/>
  <c r="D59" i="12"/>
  <c r="AA65" i="12"/>
  <c r="D36" i="12"/>
  <c r="AA42" i="12"/>
  <c r="D24" i="12"/>
  <c r="AA30" i="12"/>
  <c r="D7" i="12"/>
  <c r="AA13" i="12"/>
  <c r="F59" i="12"/>
  <c r="E59" i="12"/>
  <c r="F36" i="12"/>
  <c r="E36" i="12"/>
  <c r="G36" i="12"/>
  <c r="F24" i="12"/>
  <c r="E24" i="12"/>
  <c r="F7" i="12"/>
  <c r="E7" i="12"/>
  <c r="G7" i="12"/>
  <c r="G25" i="7"/>
  <c r="G59" i="12"/>
  <c r="G24" i="12"/>
  <c r="AA12" i="12"/>
  <c r="AB12" i="12"/>
  <c r="AB13" i="12"/>
  <c r="AA8" i="12"/>
  <c r="AB8" i="12"/>
  <c r="AB9" i="12"/>
  <c r="AA29" i="12"/>
  <c r="AB29" i="12"/>
  <c r="AB30" i="12"/>
  <c r="AA25" i="12"/>
  <c r="AB25" i="12"/>
  <c r="AB26" i="12"/>
  <c r="AA41" i="12"/>
  <c r="AB41" i="12"/>
  <c r="AB42" i="12"/>
  <c r="AA37" i="12"/>
  <c r="AB37" i="12"/>
  <c r="AB38" i="12"/>
  <c r="AA64" i="12"/>
  <c r="AB64" i="12"/>
  <c r="AB65" i="12"/>
  <c r="AA60" i="12"/>
  <c r="AB60" i="12"/>
  <c r="AB61" i="12"/>
  <c r="D5" i="12"/>
  <c r="E5" i="12"/>
  <c r="F5" i="12"/>
  <c r="G5" i="12"/>
  <c r="F19" i="20"/>
  <c r="F20" i="20"/>
  <c r="F13" i="20"/>
  <c r="F11" i="20"/>
  <c r="E13" i="10"/>
  <c r="F16" i="20"/>
  <c r="F17" i="20"/>
  <c r="F14" i="20"/>
  <c r="D4" i="20"/>
  <c r="C6" i="20"/>
  <c r="C4" i="20"/>
  <c r="E6" i="20"/>
  <c r="E4" i="20"/>
  <c r="F24" i="15"/>
  <c r="F18" i="7"/>
  <c r="F4" i="20"/>
  <c r="F6" i="20"/>
  <c r="F25" i="7"/>
  <c r="F26" i="7"/>
  <c r="E33" i="10"/>
  <c r="E32" i="10"/>
  <c r="H34" i="10"/>
  <c r="H40" i="10"/>
  <c r="I24" i="10"/>
  <c r="I29" i="10"/>
  <c r="N50" i="10"/>
  <c r="M39" i="10"/>
  <c r="N29" i="10"/>
  <c r="I38" i="10"/>
  <c r="I53" i="10"/>
  <c r="M56" i="10"/>
  <c r="M47" i="10"/>
  <c r="I48" i="10"/>
  <c r="M49" i="10"/>
  <c r="N19" i="10"/>
  <c r="M19" i="10"/>
  <c r="M40" i="10"/>
  <c r="I46" i="10"/>
  <c r="M29" i="10"/>
  <c r="M46" i="10"/>
  <c r="M16" i="10"/>
  <c r="M53" i="10"/>
  <c r="M54" i="10"/>
  <c r="I36" i="10"/>
  <c r="N34" i="10"/>
  <c r="M20" i="10"/>
  <c r="I54" i="10"/>
  <c r="I52" i="10"/>
  <c r="I56" i="10"/>
  <c r="N35" i="10"/>
  <c r="M18" i="10"/>
  <c r="N54" i="10"/>
  <c r="N46" i="10"/>
  <c r="M36" i="10"/>
  <c r="I49" i="10"/>
  <c r="M31" i="10"/>
  <c r="I40" i="10"/>
  <c r="M52" i="10"/>
  <c r="M50" i="10"/>
  <c r="I34" i="10"/>
  <c r="N56" i="10"/>
  <c r="M14" i="10"/>
  <c r="M48" i="10"/>
  <c r="I31" i="10"/>
  <c r="N38" i="10"/>
  <c r="I43" i="10"/>
  <c r="N30" i="10"/>
  <c r="I19" i="10"/>
  <c r="N24" i="10"/>
  <c r="N49" i="10"/>
  <c r="M30" i="10"/>
  <c r="N18" i="10"/>
  <c r="N15" i="10"/>
  <c r="N14" i="10"/>
  <c r="O14" i="10"/>
  <c r="I51" i="10"/>
  <c r="N48" i="10"/>
  <c r="N43" i="10"/>
  <c r="I37" i="10"/>
  <c r="M51" i="10"/>
  <c r="I35" i="10"/>
  <c r="M35" i="10"/>
  <c r="M38" i="10"/>
  <c r="M24" i="10"/>
  <c r="N31" i="10"/>
  <c r="M15" i="10"/>
  <c r="I47" i="10"/>
  <c r="I28" i="10"/>
  <c r="N16" i="10"/>
  <c r="N39" i="10"/>
  <c r="N51" i="10"/>
  <c r="I20" i="10"/>
  <c r="M37" i="10"/>
  <c r="N47" i="10"/>
  <c r="N36" i="10"/>
  <c r="I30" i="10"/>
  <c r="N53" i="10"/>
  <c r="N40" i="10"/>
  <c r="M34" i="10"/>
  <c r="N52" i="10"/>
  <c r="I50" i="10"/>
  <c r="I27" i="10"/>
  <c r="I14" i="10"/>
  <c r="M43" i="10"/>
  <c r="N20" i="10"/>
  <c r="I18" i="10"/>
  <c r="N37" i="10"/>
  <c r="G16" i="39"/>
  <c r="G35" i="39"/>
  <c r="G47" i="39"/>
  <c r="E8" i="39"/>
  <c r="E5" i="39"/>
  <c r="G76" i="39"/>
  <c r="G72" i="39"/>
  <c r="E54" i="39"/>
  <c r="G71" i="39"/>
  <c r="O15" i="10"/>
  <c r="G15" i="39"/>
  <c r="D51" i="39"/>
  <c r="D57" i="39"/>
  <c r="F73" i="39"/>
  <c r="E78" i="39"/>
  <c r="G51" i="39"/>
  <c r="F78" i="39"/>
  <c r="G64" i="39"/>
  <c r="G53" i="39"/>
  <c r="G22" i="39"/>
  <c r="G8" i="39"/>
  <c r="G41" i="39"/>
  <c r="F38" i="39"/>
  <c r="G57" i="39"/>
  <c r="G11" i="39"/>
  <c r="G26" i="39"/>
  <c r="G42" i="39"/>
  <c r="E65" i="39"/>
  <c r="G65" i="39"/>
  <c r="E18" i="39"/>
  <c r="G18" i="39"/>
  <c r="G73" i="39"/>
  <c r="G78" i="39"/>
  <c r="F89" i="39"/>
  <c r="F85" i="39"/>
  <c r="F81" i="39"/>
  <c r="E89" i="39"/>
  <c r="G89" i="39"/>
  <c r="G32" i="39"/>
  <c r="F54" i="39"/>
  <c r="G77" i="39"/>
  <c r="G7" i="39"/>
  <c r="E68" i="39"/>
  <c r="G74" i="39"/>
  <c r="G62" i="39"/>
  <c r="F57" i="39"/>
  <c r="F5" i="39"/>
  <c r="E34" i="39"/>
  <c r="G34" i="39"/>
  <c r="L26" i="35"/>
  <c r="L27" i="35"/>
  <c r="F68" i="39"/>
  <c r="D50" i="39"/>
  <c r="G82" i="39"/>
  <c r="G10" i="39"/>
  <c r="F18" i="39"/>
  <c r="G21" i="39"/>
  <c r="F28" i="39"/>
  <c r="F34" i="39"/>
  <c r="F37" i="39"/>
  <c r="G44" i="39"/>
  <c r="G48" i="39"/>
  <c r="D68" i="39"/>
  <c r="G68" i="39"/>
  <c r="G12" i="39"/>
  <c r="D31" i="39"/>
  <c r="E31" i="39"/>
  <c r="G31" i="39"/>
  <c r="F31" i="39"/>
  <c r="O51" i="10"/>
  <c r="O52" i="10"/>
  <c r="D5" i="39"/>
  <c r="G13" i="39"/>
  <c r="G54" i="39"/>
  <c r="E50" i="39"/>
  <c r="G50" i="39"/>
  <c r="D17" i="39"/>
  <c r="G6" i="39"/>
  <c r="G49" i="39"/>
  <c r="G46" i="39"/>
  <c r="E38" i="39"/>
  <c r="G25" i="39"/>
  <c r="D43" i="39"/>
  <c r="G43" i="39"/>
  <c r="G55" i="39"/>
  <c r="E28" i="39"/>
  <c r="G28" i="39"/>
  <c r="D38" i="39"/>
  <c r="G29" i="39"/>
  <c r="G14" i="39"/>
  <c r="D44" i="10"/>
  <c r="H45" i="10"/>
  <c r="L14" i="27"/>
  <c r="L15" i="27"/>
  <c r="G44" i="10"/>
  <c r="O58" i="10"/>
  <c r="O57" i="10"/>
  <c r="H26" i="10"/>
  <c r="H25" i="10"/>
  <c r="L40" i="33"/>
  <c r="J44" i="10"/>
  <c r="J10" i="10"/>
  <c r="AA58" i="10"/>
  <c r="P58" i="10"/>
  <c r="G12" i="10"/>
  <c r="G10" i="10"/>
  <c r="H33" i="10"/>
  <c r="H32" i="10"/>
  <c r="L41" i="31"/>
  <c r="L42" i="31"/>
  <c r="H17" i="10"/>
  <c r="L8" i="32"/>
  <c r="L9" i="32"/>
  <c r="H57" i="10"/>
  <c r="Q58" i="10"/>
  <c r="C12" i="10"/>
  <c r="C10" i="10"/>
  <c r="R58" i="10"/>
  <c r="E44" i="10"/>
  <c r="S58" i="10"/>
  <c r="E12" i="10"/>
  <c r="E10" i="10"/>
  <c r="D10" i="10"/>
  <c r="O28" i="10"/>
  <c r="S28" i="10"/>
  <c r="R28" i="10"/>
  <c r="Q28" i="10"/>
  <c r="O30" i="10"/>
  <c r="O47" i="10"/>
  <c r="O39" i="10"/>
  <c r="O36" i="10"/>
  <c r="O27" i="10"/>
  <c r="O54" i="10"/>
  <c r="O43" i="10"/>
  <c r="O42" i="10"/>
  <c r="O41" i="10"/>
  <c r="O53" i="10"/>
  <c r="O48" i="10"/>
  <c r="O35" i="10"/>
  <c r="O19" i="10"/>
  <c r="O34" i="10"/>
  <c r="O49" i="10"/>
  <c r="O46" i="10"/>
  <c r="O18" i="10"/>
  <c r="O50" i="10"/>
  <c r="O38" i="10"/>
  <c r="O29" i="10"/>
  <c r="O40" i="10"/>
  <c r="O37" i="10"/>
  <c r="S16" i="10"/>
  <c r="S30" i="10"/>
  <c r="P53" i="10"/>
  <c r="Q49" i="10"/>
  <c r="R14" i="10"/>
  <c r="M13" i="10"/>
  <c r="S51" i="10"/>
  <c r="Q30" i="10"/>
  <c r="P15" i="10"/>
  <c r="P40" i="10"/>
  <c r="Q29" i="10"/>
  <c r="I17" i="10"/>
  <c r="P18" i="10"/>
  <c r="P35" i="10"/>
  <c r="S56" i="10"/>
  <c r="N55" i="10"/>
  <c r="S55" i="10"/>
  <c r="S53" i="10"/>
  <c r="R52" i="10"/>
  <c r="P39" i="10"/>
  <c r="P36" i="10"/>
  <c r="P38" i="10"/>
  <c r="S15" i="10"/>
  <c r="Q24" i="10"/>
  <c r="P48" i="10"/>
  <c r="S19" i="10"/>
  <c r="R40" i="10"/>
  <c r="S35" i="10"/>
  <c r="S29" i="10"/>
  <c r="Q54" i="10"/>
  <c r="R38" i="10"/>
  <c r="R19" i="10"/>
  <c r="Q38" i="10"/>
  <c r="R24" i="10"/>
  <c r="M22" i="10"/>
  <c r="S14" i="10"/>
  <c r="N13" i="10"/>
  <c r="P28" i="10"/>
  <c r="S52" i="10"/>
  <c r="R29" i="10"/>
  <c r="S36" i="10"/>
  <c r="P52" i="10"/>
  <c r="S47" i="10"/>
  <c r="P14" i="10"/>
  <c r="Q47" i="10"/>
  <c r="P50" i="10"/>
  <c r="R15" i="10"/>
  <c r="R47" i="10"/>
  <c r="R48" i="10"/>
  <c r="P46" i="10"/>
  <c r="I45" i="10"/>
  <c r="Q36" i="10"/>
  <c r="Q35" i="10"/>
  <c r="R51" i="10"/>
  <c r="P27" i="10"/>
  <c r="I26" i="10"/>
  <c r="I55" i="10"/>
  <c r="P55" i="10"/>
  <c r="P56" i="10"/>
  <c r="AA56" i="10"/>
  <c r="S39" i="10"/>
  <c r="Q50" i="10"/>
  <c r="S31" i="10"/>
  <c r="I33" i="10"/>
  <c r="P34" i="10"/>
  <c r="R20" i="10"/>
  <c r="S46" i="10"/>
  <c r="N45" i="10"/>
  <c r="P54" i="10"/>
  <c r="S20" i="10"/>
  <c r="P24" i="10"/>
  <c r="AA24" i="10"/>
  <c r="I22" i="10"/>
  <c r="N26" i="10"/>
  <c r="S27" i="10"/>
  <c r="R35" i="10"/>
  <c r="S37" i="10"/>
  <c r="N17" i="10"/>
  <c r="S18" i="10"/>
  <c r="R50" i="10"/>
  <c r="R39" i="10"/>
  <c r="Q39" i="10"/>
  <c r="R49" i="10"/>
  <c r="P49" i="10"/>
  <c r="Q52" i="10"/>
  <c r="Q27" i="10"/>
  <c r="M33" i="10"/>
  <c r="R34" i="10"/>
  <c r="M55" i="10"/>
  <c r="R55" i="10"/>
  <c r="R56" i="10"/>
  <c r="Q15" i="10"/>
  <c r="P20" i="10"/>
  <c r="Q40" i="10"/>
  <c r="R31" i="10"/>
  <c r="P51" i="10"/>
  <c r="R37" i="10"/>
  <c r="M42" i="10"/>
  <c r="R43" i="10"/>
  <c r="R27" i="10"/>
  <c r="M26" i="10"/>
  <c r="R18" i="10"/>
  <c r="M17" i="10"/>
  <c r="S40" i="10"/>
  <c r="Q46" i="10"/>
  <c r="P37" i="10"/>
  <c r="O31" i="10"/>
  <c r="Q31" i="10"/>
  <c r="Q34" i="10"/>
  <c r="S48" i="10"/>
  <c r="Q51" i="10"/>
  <c r="R53" i="10"/>
  <c r="Q53" i="10"/>
  <c r="R54" i="10"/>
  <c r="R46" i="10"/>
  <c r="M45" i="10"/>
  <c r="Q19" i="10"/>
  <c r="P31" i="10"/>
  <c r="S49" i="10"/>
  <c r="P47" i="10"/>
  <c r="S38" i="10"/>
  <c r="S34" i="10"/>
  <c r="N33" i="10"/>
  <c r="P43" i="10"/>
  <c r="I42" i="10"/>
  <c r="Q20" i="10"/>
  <c r="Q37" i="10"/>
  <c r="P30" i="10"/>
  <c r="R36" i="10"/>
  <c r="Q18" i="10"/>
  <c r="Q48" i="10"/>
  <c r="Q14" i="10"/>
  <c r="S50" i="10"/>
  <c r="R30" i="10"/>
  <c r="N22" i="10"/>
  <c r="S24" i="10"/>
  <c r="R16" i="10"/>
  <c r="P29" i="10"/>
  <c r="S43" i="10"/>
  <c r="N42" i="10"/>
  <c r="Q56" i="10"/>
  <c r="Q55" i="10"/>
  <c r="Q43" i="10"/>
  <c r="P19" i="10"/>
  <c r="S54" i="10"/>
  <c r="E85" i="39"/>
  <c r="F50" i="39"/>
  <c r="D37" i="39"/>
  <c r="F17" i="39"/>
  <c r="F3" i="39"/>
  <c r="S17" i="10"/>
  <c r="E17" i="39"/>
  <c r="G17" i="39"/>
  <c r="G85" i="39"/>
  <c r="E81" i="39"/>
  <c r="G81" i="39"/>
  <c r="D3" i="39"/>
  <c r="E37" i="39"/>
  <c r="G37" i="39"/>
  <c r="G38" i="39"/>
  <c r="G5" i="39"/>
  <c r="Q17" i="10"/>
  <c r="H12" i="10"/>
  <c r="P17" i="10"/>
  <c r="R17" i="10"/>
  <c r="Q57" i="10"/>
  <c r="R57" i="10"/>
  <c r="S57" i="10"/>
  <c r="AA57" i="10"/>
  <c r="L8" i="30"/>
  <c r="L9" i="30"/>
  <c r="P57" i="10"/>
  <c r="H44" i="10"/>
  <c r="O56" i="10"/>
  <c r="O55" i="10"/>
  <c r="O33" i="10"/>
  <c r="O32" i="10"/>
  <c r="O24" i="10"/>
  <c r="O22" i="10"/>
  <c r="O21" i="10"/>
  <c r="N41" i="10"/>
  <c r="S41" i="10"/>
  <c r="S42" i="10"/>
  <c r="N12" i="10"/>
  <c r="S13" i="10"/>
  <c r="Q33" i="10"/>
  <c r="Q32" i="10"/>
  <c r="M44" i="10"/>
  <c r="R45" i="10"/>
  <c r="O20" i="10"/>
  <c r="O17" i="10"/>
  <c r="R13" i="10"/>
  <c r="M12" i="10"/>
  <c r="O45" i="10"/>
  <c r="R22" i="10"/>
  <c r="M21" i="10"/>
  <c r="R21" i="10"/>
  <c r="I41" i="10"/>
  <c r="P41" i="10"/>
  <c r="P42" i="10"/>
  <c r="Q22" i="10"/>
  <c r="Q21" i="10"/>
  <c r="S22" i="10"/>
  <c r="N21" i="10"/>
  <c r="S21" i="10"/>
  <c r="R33" i="10"/>
  <c r="M32" i="10"/>
  <c r="R32" i="10"/>
  <c r="S45" i="10"/>
  <c r="N44" i="10"/>
  <c r="P33" i="10"/>
  <c r="I32" i="10"/>
  <c r="P32" i="10"/>
  <c r="R26" i="10"/>
  <c r="M25" i="10"/>
  <c r="R25" i="10"/>
  <c r="O26" i="10"/>
  <c r="O25" i="10"/>
  <c r="P22" i="10"/>
  <c r="I21" i="10"/>
  <c r="P21" i="10"/>
  <c r="Q45" i="10"/>
  <c r="S33" i="10"/>
  <c r="N32" i="10"/>
  <c r="S32" i="10"/>
  <c r="N25" i="10"/>
  <c r="S25" i="10"/>
  <c r="S26" i="10"/>
  <c r="I25" i="10"/>
  <c r="P25" i="10"/>
  <c r="P26" i="10"/>
  <c r="P45" i="10"/>
  <c r="I44" i="10"/>
  <c r="Q26" i="10"/>
  <c r="Q25" i="10"/>
  <c r="Q42" i="10"/>
  <c r="Q41" i="10"/>
  <c r="R42" i="10"/>
  <c r="M41" i="10"/>
  <c r="R41" i="10"/>
  <c r="M10" i="10"/>
  <c r="H10" i="10"/>
  <c r="E3" i="39"/>
  <c r="G3" i="39"/>
  <c r="S44" i="10"/>
  <c r="P44" i="10"/>
  <c r="Q44" i="10"/>
  <c r="R44" i="10"/>
  <c r="O44" i="10"/>
  <c r="R12" i="10"/>
  <c r="N10" i="10"/>
  <c r="S12" i="10"/>
  <c r="S10" i="10"/>
  <c r="R10" i="10"/>
  <c r="I16" i="10"/>
  <c r="I13" i="10"/>
  <c r="P16" i="10"/>
  <c r="Q16" i="10"/>
  <c r="Q13" i="10"/>
  <c r="O16" i="10"/>
  <c r="O13" i="10"/>
  <c r="O12" i="10"/>
  <c r="O10" i="10"/>
  <c r="I12" i="10"/>
  <c r="P13" i="10"/>
  <c r="P12" i="10"/>
  <c r="I10" i="10"/>
  <c r="P10" i="10"/>
  <c r="Q12" i="10"/>
  <c r="Q10" i="10"/>
  <c r="F4" i="10"/>
  <c r="E4" i="10"/>
  <c r="H4" i="10"/>
  <c r="L41" i="33"/>
</calcChain>
</file>

<file path=xl/sharedStrings.xml><?xml version="1.0" encoding="utf-8"?>
<sst xmlns="http://schemas.openxmlformats.org/spreadsheetml/2006/main" count="2033" uniqueCount="665">
  <si>
    <t>ACOMPANHAMENTO EXECUÇÃO GESTÃO - 2024</t>
  </si>
  <si>
    <t>UNIDADE</t>
  </si>
  <si>
    <t>AÇÃO</t>
  </si>
  <si>
    <t>PO</t>
  </si>
  <si>
    <t>INICIATIVAS</t>
  </si>
  <si>
    <t>GRUPO DE DESPESAS</t>
  </si>
  <si>
    <t>DOTAÇÃO ATUALIZADA</t>
  </si>
  <si>
    <t>PROGRAMADO 2024</t>
  </si>
  <si>
    <t>EMPENHADO
2024</t>
  </si>
  <si>
    <t>LIQUIDADO
2024</t>
  </si>
  <si>
    <t>PAGO
2024</t>
  </si>
  <si>
    <t>OBSERVAÇÃO (PENDÊNCIAS)</t>
  </si>
  <si>
    <t>SECRETARIA EXECUTIVA</t>
  </si>
  <si>
    <t>2000</t>
  </si>
  <si>
    <t>0000</t>
  </si>
  <si>
    <t>Administração da unidade- Despesas diversas</t>
  </si>
  <si>
    <t>Despesas correntes</t>
  </si>
  <si>
    <t>A pedido do CCAL, foi realizada uma troca de PO do 0000 para o 000B no valor de 400 mil As programações dos dois POS devem ser ajustadas para refletir a dotação existente (R$ 175.674,00 utilizados para Diaspora)</t>
  </si>
  <si>
    <t>Investimento</t>
  </si>
  <si>
    <t>Subtotal PO 0000</t>
  </si>
  <si>
    <t>0007</t>
  </si>
  <si>
    <t>Capacitação de Servidores Públicos Federais em Processo de Qualificação e Requalificação</t>
  </si>
  <si>
    <r>
      <rPr>
        <sz val="9"/>
        <color rgb="FF000000"/>
        <rFont val="Calibri"/>
        <family val="2"/>
      </rPr>
      <t>Previsão de gastos até o fim de 2024, com cursos de idiomas, congressos, GECC, dentre outros.</t>
    </r>
    <r>
      <rPr>
        <b/>
        <sz val="9"/>
        <color rgb="FFFF0000"/>
        <rFont val="Calibri"/>
        <family val="2"/>
      </rPr>
      <t xml:space="preserve"> Fazer num pedido de recomposição de R$182.691 devido ao remanejamento realizado em julho</t>
    </r>
  </si>
  <si>
    <t>Subtotal PO 0007</t>
  </si>
  <si>
    <t>000B</t>
  </si>
  <si>
    <t>Ajuda de custo (mobilização e desmobilização)</t>
  </si>
  <si>
    <t>Ajuste do valor tendo em vistas novas nomeações/exonerações</t>
  </si>
  <si>
    <t>Subtotal PO 000B</t>
  </si>
  <si>
    <t>000C</t>
  </si>
  <si>
    <t>Ajuda de custo para Estagiários</t>
  </si>
  <si>
    <t>Valor para pagamento de bolsas de estágiarios até o final de 2024</t>
  </si>
  <si>
    <t>Subtotal PO 000C</t>
  </si>
  <si>
    <t>000F</t>
  </si>
  <si>
    <t>Integração e Aquisição de Tecnologia da Informação</t>
  </si>
  <si>
    <t>Subtotal PO 000F</t>
  </si>
  <si>
    <t>0010</t>
  </si>
  <si>
    <t>Conservação de Ativos da União</t>
  </si>
  <si>
    <t>Valor integral oferecido para cancelamento</t>
  </si>
  <si>
    <t>Subtotal PO 0010</t>
  </si>
  <si>
    <t>Subtotal Ação 2000</t>
  </si>
  <si>
    <t>216h</t>
  </si>
  <si>
    <t>Auxilio Moradia servidores publicos</t>
  </si>
  <si>
    <t>Despesas Correntes</t>
  </si>
  <si>
    <t>Subtotal Ação 216H</t>
  </si>
  <si>
    <t>4641</t>
  </si>
  <si>
    <t>Publicidade de Utilidade Pública</t>
  </si>
  <si>
    <t>Subtotal Ação 4641</t>
  </si>
  <si>
    <t>162G</t>
  </si>
  <si>
    <t>Exercício da Presidência do G20 pelo Brasil</t>
  </si>
  <si>
    <t>Subtotal Ação 162G</t>
  </si>
  <si>
    <t>TOTAL</t>
  </si>
  <si>
    <t>(%) DE EXECUÇÃO</t>
  </si>
  <si>
    <t>LIMITE DE MOVIMENTAÇÃO EMPENHO</t>
  </si>
  <si>
    <t>Decreto nº 12.990, de 29 de maio de 2026, e alterações</t>
  </si>
  <si>
    <t>ATÉ NOVEMBRO 2026</t>
  </si>
  <si>
    <t>LIMITE</t>
  </si>
  <si>
    <t>AGUARDANDO EMPENHO</t>
  </si>
  <si>
    <t>EMPENHADO</t>
  </si>
  <si>
    <t>LIMITE CONSUMIDO</t>
  </si>
  <si>
    <t>EMPENHADO/ LIMITE</t>
  </si>
  <si>
    <t>LIMITE A CONSUMIR</t>
  </si>
  <si>
    <t>MIR</t>
  </si>
  <si>
    <t>O LME refere-se ao montante autorizado por decreto para execução pelo MIR em determinado período do exercício. Dessa forma, as áreas devem observar, no planejamento de suas ações, a capacidade de execução orçamentária disponível para o Ministério no respectivo período.</t>
  </si>
  <si>
    <t>Atualização: 21/10/2026 (base SIAFI)</t>
  </si>
  <si>
    <t>Planilha</t>
  </si>
  <si>
    <t>Código</t>
  </si>
  <si>
    <t>PROGRAMADO 2025</t>
  </si>
  <si>
    <t>EMPENHADO
2025</t>
  </si>
  <si>
    <t>LIQUIDADO
2025</t>
  </si>
  <si>
    <t>PAGO
2025</t>
  </si>
  <si>
    <t>PROGRAMAÇÃO</t>
  </si>
  <si>
    <t>GND</t>
  </si>
  <si>
    <t>PLOA</t>
  </si>
  <si>
    <t>LOA</t>
  </si>
  <si>
    <t>DOTAÇÃO ATUALIZADA
2026</t>
  </si>
  <si>
    <t>BLOQUEIO DECRETO Nº 12.990</t>
  </si>
  <si>
    <t>BLOQUEIO
SOF/MPO</t>
  </si>
  <si>
    <t>DOTAÇÃO LIVRE PARA EMPENHO</t>
  </si>
  <si>
    <t>PROGRAMADO 
2026</t>
  </si>
  <si>
    <t>DESCENTRALIZADO (ocultar)</t>
  </si>
  <si>
    <t>DESCENTRALIZADO (ainda não empenhado)
2026</t>
  </si>
  <si>
    <t>EMPENHADO
2026</t>
  </si>
  <si>
    <t>LIQUIDADO
2026</t>
  </si>
  <si>
    <t>PAGO
2026</t>
  </si>
  <si>
    <t>SALDO A UTILIZAR
2026</t>
  </si>
  <si>
    <t>(%)
Programado</t>
  </si>
  <si>
    <t>(%)
Empenhado</t>
  </si>
  <si>
    <t>(%)
Liquidado</t>
  </si>
  <si>
    <t>(%)
Pago</t>
  </si>
  <si>
    <t>L3:L200</t>
  </si>
  <si>
    <t>M3:M200</t>
  </si>
  <si>
    <t>N3:N200</t>
  </si>
  <si>
    <t>O3:O200</t>
  </si>
  <si>
    <t>TOTAL GERAL</t>
  </si>
  <si>
    <t>SEPAR</t>
  </si>
  <si>
    <t>21HN - Gestão de Políticas de Ações Afirmativas e de Combate e Superação do Racismo</t>
  </si>
  <si>
    <t>0000 - Gestão de Políticas de Ações Afirmativas e de Combate e Superação do Racismo - Despesas Diversas</t>
  </si>
  <si>
    <t>'21HN - SEPAR'!</t>
  </si>
  <si>
    <t>0001 - Fortalecimento das Ações Afirmativas</t>
  </si>
  <si>
    <t>0002 - Promoção e Implementação de Políticas para o Combate e a Superação de todas as Formas de Racismo</t>
  </si>
  <si>
    <t>21FF - Fortalecimento de Políticas em prol da Vida e do Bem Viver da Juventude Negra</t>
  </si>
  <si>
    <t>0000 - Fortalecimento de Políticas em prol da Vida e do Bem Viver da Juventude Negra - Despesas Diversas</t>
  </si>
  <si>
    <t>'21FF - SEPAR'!</t>
  </si>
  <si>
    <t>0001 - Ações de promoção, proteção e garantia dos direitos da juventude negra</t>
  </si>
  <si>
    <t>0002 - Promoção de Justiça Racial e Garantia de Direitos às Pessoas Privadas de Liberdade - ADPF 347</t>
  </si>
  <si>
    <t>OUVIDORIA</t>
  </si>
  <si>
    <t>0003 -  Ferramentas Nacionais de Recebimento e Encaminhamento de Denúncias de Racismo</t>
  </si>
  <si>
    <t>'21HN - OUV'!</t>
  </si>
  <si>
    <t>SENAPIR</t>
  </si>
  <si>
    <t>21FC - Monitoramento, aperfeiçoamento, articulação e estruturação de políticas de promoção da igualdade racial no âmbito do SINAPIR</t>
  </si>
  <si>
    <t>0000 - Monitoramento, aperfeiçoamento, articulação e estruturação de políticas de promoção da igualdade racial no âmbito do SINAPIR - Despesas Diversas</t>
  </si>
  <si>
    <t>'21FC - SENAPIR'!</t>
  </si>
  <si>
    <t>0001 - Monitoramento, Avaliação e Gestão da informação de Políticas de Promoção da Igualdade Racial</t>
  </si>
  <si>
    <t>0002 - Aperfeiçoamento, estruturação e promoção do SINAPIR - Sistema Nacional de Promoção da Igualdade Racial</t>
  </si>
  <si>
    <t>SQPT</t>
  </si>
  <si>
    <t>21FE - Apoio à Implementação de Políticas para Quilombolas, Comunidades Tradicionais de Matriz Africana, Povos de Terreiro e Ciganos</t>
  </si>
  <si>
    <t>0000 - Apoio à Implementação de Políticas para Quilombolas, Comunidades Tradicionais de Matriz Africana, Povos de Terreiro e Ciganos - Despesas Diversas</t>
  </si>
  <si>
    <t>'21FE - SQPT'!</t>
  </si>
  <si>
    <t>0001 - Promoção, proteção e garantia dos direitos dos povos Ciganos</t>
  </si>
  <si>
    <t>0001</t>
  </si>
  <si>
    <t>0002 - Promoção, proteção e garantia dos direitos das Comunidades Tradicionais de Matriz Africana e Povos de Terreiro</t>
  </si>
  <si>
    <t>0002</t>
  </si>
  <si>
    <t>0003 - Promoção, proteção e garantia dos direitos das populações e comunidades Quilombolas</t>
  </si>
  <si>
    <t>0003</t>
  </si>
  <si>
    <t>CNPIR</t>
  </si>
  <si>
    <t>21FG - Apoio no Funcionamento do Conselho Nacional de Promoção da Igualdade Racial - CNPIR</t>
  </si>
  <si>
    <t>0000 - Apoio no Funcionamento do Conselho Nacional de Promoção da Igualdade Racial - Despesas Diversas</t>
  </si>
  <si>
    <t>'21FG - CNPIR'!</t>
  </si>
  <si>
    <t>2000 - Administração da Unidade</t>
  </si>
  <si>
    <t>0000 - Administração da Unidade - Despesas Diversas</t>
  </si>
  <si>
    <t>'2000 - SE'!</t>
  </si>
  <si>
    <t>0007 - Capacitação de Servidores Públicos Federais em Processo de Qualificação e Requalificação</t>
  </si>
  <si>
    <t>000B - Ajuda de custo (mobilização e desmobilização)</t>
  </si>
  <si>
    <t>000C - Ajuda de custo para Estagiários</t>
  </si>
  <si>
    <t>000F - Integração e Aquisição de Tecnologia da Informação</t>
  </si>
  <si>
    <t>0010 - Conservação de ativos da União</t>
  </si>
  <si>
    <t>216H -  Ajuda de Custo para Moradia ou Auxílio-Moradia a Agentes Públicos</t>
  </si>
  <si>
    <t>0000 - Ajuda de Custo para Moradia ou Auxílio-Moradia a Agentes Públicos</t>
  </si>
  <si>
    <t>'216H - SE'!</t>
  </si>
  <si>
    <t>4641 - Publicidade de Utilidade Pública</t>
  </si>
  <si>
    <t>0000 - Publicidade de Utilidade Pública</t>
  </si>
  <si>
    <t>4641 - SE'!</t>
  </si>
  <si>
    <t>ACOMPANHAMENTO EXECUÇÃO FINALÍSTICAS - 2025</t>
  </si>
  <si>
    <t>ANO DE FORMALIZAÇÃO</t>
  </si>
  <si>
    <t>GRUPO DE DESPESA</t>
  </si>
  <si>
    <t>SEI</t>
  </si>
  <si>
    <t>DIRETORIA</t>
  </si>
  <si>
    <t>RESPONSÁVEL PELA FORMALIZAÇÃO</t>
  </si>
  <si>
    <t>INSTRUMENTO</t>
  </si>
  <si>
    <t>SIAFI</t>
  </si>
  <si>
    <t>PARCEIRO</t>
  </si>
  <si>
    <t>PROGRAMADO 2026</t>
  </si>
  <si>
    <t>STATUS</t>
  </si>
  <si>
    <t>2025</t>
  </si>
  <si>
    <t>Administração da Unidade - Despesas Diversas</t>
  </si>
  <si>
    <t>Vários</t>
  </si>
  <si>
    <t>DGA</t>
  </si>
  <si>
    <t>Jeremias</t>
  </si>
  <si>
    <t>Contrato</t>
  </si>
  <si>
    <t>não há</t>
  </si>
  <si>
    <t>Dotação livre para empenho</t>
  </si>
  <si>
    <t>(%) PLE/PROGRAMADO</t>
  </si>
  <si>
    <t>ACOMPANHAMENTO EXECUÇÃO GESTÃO - 2025</t>
  </si>
  <si>
    <t>Jerê / Nayara</t>
  </si>
  <si>
    <t>Pessoal</t>
  </si>
  <si>
    <t>Empenhado</t>
  </si>
  <si>
    <t>PREVISÃO DE DESCENTRALIZAÇÃO</t>
  </si>
  <si>
    <t>ENTREGA PPA</t>
  </si>
  <si>
    <t>DIARIAS E PASSAGENS /DESPESAS ADMINISTRATIVAS</t>
  </si>
  <si>
    <t>CONTRATO</t>
  </si>
  <si>
    <t>-</t>
  </si>
  <si>
    <t>Cooperação para realização de pesquisas e desenvolvimento de indicadores e monitoramento de políticas públicas</t>
  </si>
  <si>
    <t>21290.200603/2023-66</t>
  </si>
  <si>
    <t>DAMGI</t>
  </si>
  <si>
    <t>Luciano Silva</t>
  </si>
  <si>
    <t>TED</t>
  </si>
  <si>
    <t>IPEA</t>
  </si>
  <si>
    <t>19/10/26: Despacho(65118481) Comunicação do fim de vigência; 13/10/26: Ofício(64906505) Prestação de Contas da Descentralização de Crédito - IPEA; 28/09/26: Despacho (64641576)envio do Ofício ao IPEA solcitando RCO; 21/09/26: Despacho (64409549) solicitação RCO; 14/09/26: Despacho(63724637) Comunicação fim da vigência 22/09/26; 17/08/26: Ofício DGA (63658861) Comunicação de fim de vigência do TED; 10/08/26: Nota Técnica(62835977) Análise do RCO. 20/07/26: TED em execução. Conforme cronograma plano de trabalho do TED, 2026NC000088 (57431120)e 2026PF000022 (57732657) emitidas em fevereiro/2026.</t>
  </si>
  <si>
    <t>2071 - Observatório de monitoramento e avaliação do SINAPIR</t>
  </si>
  <si>
    <t xml:space="preserve">ADITIVO - Plataforma ODS Racial - Monitoramento e inteligência de dados de indicadores da população negra no Brasil </t>
  </si>
  <si>
    <t xml:space="preserve">21290.200789/2023-53 </t>
  </si>
  <si>
    <t>Leandro/Luciano Silva</t>
  </si>
  <si>
    <t>UFPB</t>
  </si>
  <si>
    <t>junho</t>
  </si>
  <si>
    <t>19/10/26: Anexo (65247630) Resposta a Nota Técnica nº 187/2026/MIR; 13/10/26: Despacho (64978265)repasse financeiro no valor de R$ 28.500,00; 05/10/26: Declaração(64901388); 28/09/26: Despacho(64553703)repasse financeiro no valor de R$ 9.000,00;14/09/26: Despacho (63981888) repasse financeiro no valor de R$ 20.000,00; 24/08/26: Despacho (63842878) repasse financeiro no valor de R$ 4.000,00 em 24/08/26; 17/08/26: Despacho (63293462) repasse financeiro no valor de R$ 2.000,00 em 02/08/26; 27/07/26: Ofício Gab (63126977)Celebração de Termo Aditivo de Suplementação, Vigência e Repasse financeiro; 20/07/26: Descentralização Orçamentária (62788574); 06/07/26: Termo Aditivo aguardando assinatura da Ministra(62321007). Autorização prévia celebração de termo aditivo de vigência com suplementação de recursos. 16/06/26: Aguardando a resposta da SE ao Ofício do Gabinete (60546011); 26/05/2026: O Aditivo correspondente a inclusão de uma nova meta objetivando: novas funcionalidades à Plataforma ODS Racial, o ajuste de prazos de entrega e a adequação do cronograma de desembolso. Ofício(60172451) de 10/04/2026 encaminhando a Minuta do Aditivo de Termo de Execução Descentralização - TED (56583856) e Minuta do Plano de Trabalho atualizado (56574438)</t>
  </si>
  <si>
    <t xml:space="preserve">Plataforma ODS Racial - Monitoramento e inteligência de dados de indicadores da população negra no Brasil </t>
  </si>
  <si>
    <r>
      <rPr>
        <sz val="9"/>
        <color rgb="FFFF0000"/>
        <rFont val="Calibri"/>
      </rPr>
      <t xml:space="preserve">19/10/26: Anexo (65247630) Resposta a Nota Técnica nº 187/2026/MIR; 13/10/26: Despacho (64978265)repasse financeiro no valor de R$ 28.500,00; 05/10/26: Declaração(64901388); 28/09/26: Despacho(64553703)repasse financeiro no valor de R$ 9.000,00; 14/09/26: Despacho (63981888) repasse financeiro no valor de R$ 20.000,00; 24/08/26: Despacho (63842878) repasse financeiro no valor de R$ 4.000,00 em 24/08/26; 17/08/26: Despacho (63293462) repasse financeiro no valor de R$ 2.000,00 em 02/08/26; 27/07/26: Ofício Gab (63126977)Celebração de Termo Aditivo de Suplementação e Vigência e Repasse financeiro; 20/07/26: Descentralização Orçamentária (62788574); 06/07/26: Termo Aditivo aguardando assinatura da Ministra(62321007). Autorização prévia celebração de termo aditivo de vigência com suplementação de recursos. 16/06/26: Aguardando a resposta da SE ao Ofício do Gabinete (60546011); 26/05/2026: corresponde a novo empenho tendo em vista anulação de empenho/devolução de crédito, conforme e-mail da Instituição à CGMO e à DGA em novembro/2025. Constitui parte do valor do aditivo, o qual totalizará </t>
    </r>
    <r>
      <rPr>
        <b/>
        <sz val="9"/>
        <color rgb="FFFF0000"/>
        <rFont val="Calibri"/>
      </rPr>
      <t>R$ 117.716,30.</t>
    </r>
  </si>
  <si>
    <t>ADITIVO - Apoio a pesquisa e eventos (CNPQ)</t>
  </si>
  <si>
    <t>21290.200530/2024-93</t>
  </si>
  <si>
    <t xml:space="preserve">Ana Carolina </t>
  </si>
  <si>
    <t xml:space="preserve">TED </t>
  </si>
  <si>
    <t>CNPQ</t>
  </si>
  <si>
    <t>Instrução Processual</t>
  </si>
  <si>
    <t>19/10/26: Despacho (64864975)repasse financeiro no valor de R$ 98.760,00; 28/09/26: Despacho (63993205) repasse financeiro no valor de R$ 98.760,00; 24/08/26: Despacho(63713250) Reunião de Apresentação dos projetos selecionados pela Chamada CNPq/MIR nº 18/2025; 17/08/26: Despacho (63292965) repasse financeiro no valor de R$ 107.660,00; 27/07/26: Despacho (62715339)repasse financeiro no valor de R$ 109.310,00; 20/07/26: Aguardando a resposta da solicitação do RCO (61672471). Por sugestão do CNPQ, será desmembrado em a) 1 aditivo de 223 mil, para recurso de custeio e apoio a projetos remanescentes e 2) novo TED, com recurso contrapartida Edital Lelia Gonzalez. Reunião agendada para 08 de junho para revisão no Plano de trabalho. 26/05/2026: O TED está em execução. O recurso programado corresponde a um aditivo. Objetiva a realização de uma nova chamada pública de projetos de pesquisa voltados à temática racial, bem como a suplementação da chamada realizada em 2025. Manifestação de interesse enviada (SEI 56210415). Aguardando Plano de Trabalho.</t>
  </si>
  <si>
    <t>Apoio a pesquisas - Edital Lélia Gonzalez</t>
  </si>
  <si>
    <t>21290.002101/2026-14</t>
  </si>
  <si>
    <t xml:space="preserve">19/10/26: Ofício(64959423) Diligências; 05/10/26: TED 22(64490576) a ser assinado; 14/09/26: Nota Informativa (64101324) Ajuste no Cronograma de Desembolso; 31/08/26: Despacho DGA(63942470) autorização prévia; 24/08/26: Despacho DGA (63847784) com análise da documentação  verificou-se que o processo encontra-se regularmente instruído;17/08/26: Nota Informativa DAMGI(63670143) a ser assinada; 05/08/26: Ofício(63315344)à SE e DGA. Encaminhamento de proposta de TED entre o MIR e CNPq; 03/08/26: Despacho DAMGI(62970623)para celebração do TED; 06/07/26: Resposta do CNPQ a manifestação de interesse, Ofício (62599686); 29/06/26: Redução do valor programado de R$ 2mi para R$ 1,5mi. 22/06/26: Despacho DAMGI(62204132) manifestação de interesse. Novo TED - Apoio a Pesquisas e Edital Lelia Gonzalez  1.500.000,00 </t>
  </si>
  <si>
    <t>INCLUA - Igualdade Racial</t>
  </si>
  <si>
    <t>21290.001303/2025-68</t>
  </si>
  <si>
    <t>Ana Carolina</t>
  </si>
  <si>
    <t>19/10/26: Despacho(64953810) Encaminhamento da relação de municípios selecionados para participação no assessoramento relacionado à Plataforma Inclua Igualdade Racial; 05/10/26: Ofício SE(64846317) a ser assinado;28/09/26: Despacho(64680976) Encaminhamento da relação de municípios selecionados para participação no assessoramento Inclua; 21/09/26: Nota Técnica (63871862)Análise parcial RCO; 24/08/26: Despacho (62951307) encaminhando os ofícios ao IPEA; 17/08/26: Ofício 12502 (62948671) encaminhado ao IPEA em 17/07/26; 13/07/26: Despacho suspensão IA. Defeso Eleitoral(62825185);06/07/26: TED em execução. Conforme cronograma plano de trabalho do TED, Nota de Crédito - 2026NC000010 (57303054) emitida em janeiro/2026. 2026PF000023 (57737226) em fevereiro de 2026.</t>
  </si>
  <si>
    <t>UFSB - Observatório ODS 18</t>
  </si>
  <si>
    <t> 21290.201857/2024-82</t>
  </si>
  <si>
    <t>Emanuel/Luciano Silva</t>
  </si>
  <si>
    <t>UFSB</t>
  </si>
  <si>
    <t>Pago/Liquidado</t>
  </si>
  <si>
    <t>19/10/26: Despacho (62690910) Repasse financeiro no valor de R$ 901.699,31 em 08/07/26; 13/07/26: Valor liquidado R$ 536.699,31; 06/07/26: valor empenhado R$ 536.699,31; 26/05/2026: Programado para abril/2026. Conforme cronograma plano de trabalho do TED,  2026NC0000075,  SEI-57260689 emitida em janeiro/2026. Estorno da 2026NC0000075(SEI-57265246) em janeiro/2026. Parcel</t>
  </si>
  <si>
    <t>TED - UFSB - Estratrégias de Territorialização do ODS18 (continuidade das ações do Observatório do ODS 18), voltadas para entes subnacionais e OSC</t>
  </si>
  <si>
    <t>21290.004241/2025-46</t>
  </si>
  <si>
    <t>julho</t>
  </si>
  <si>
    <t>19/10/26: Ofício Gab SENAPIR (64927041)a ser assinado; 05/10/26: Despacho (64600062)encaminhando TED; 21/09/26: Despacho SE(64129045) a ser assinado; 31/08/26: Despacho DGA(63792446)processo encontra-se regularmente instruído; 24/08/26: Despacho DGA (63769592)Resposta da solicitação de cumprimento da Portaria GAB/MIR nº 394; 17/08/26: Despacho DAMGI (63663029) Cumprimento da Portaria GAB/MIR nº 394, 15/07/26; 10/08/26: Portaria(63449564)  fluxo de instrução, análise e tramitação dos processos administrativos;03/08/26: Ofício (62982241)à SE para celebração do TED; 20/07/26: Despacho DAMGI (62956804) ao Gabinete; 13/07/26:Aguardando assinatura do Secretário para SE(Ofício 62124772);11/06/26:Encaminhado Despacho 62036120 ao Gab SENAPIR com justes realizados em virtude das recomendações solicitadas pela Secretaria-Executiva; 28/05 - em ajuste, cf recomendações SE MIR. 26/05/2026 Aguardando apreciação SE/MIR - Ofício SENAPIR enviado em 20/5 SEI 57777491; 06/04/2026:(Despacho 59510990, de 28/01/26 - Instrução concluída na Diretoria). Instrução revisada na Diretoria, conforme NT 57611365, alterando o cronograma de desembolso para 2026 (R$ 1 milhão para 2026). Despacho 59510990, de 27/03/26, para Gabinete SENAPIR</t>
  </si>
  <si>
    <t>FIAR - ENAP Oferta de cursos síncronos e novo curso</t>
  </si>
  <si>
    <t>21290.002743/2026-13</t>
  </si>
  <si>
    <t>TEDinho</t>
  </si>
  <si>
    <t>ENAP</t>
  </si>
  <si>
    <t>19/10/26: Ofício(64959975) Proposta de parceria para curso sobre orçamento sensível a raça; 05/10/26: Despacho (64465148) Comunica o envio do Ofício Enap; 14/09/26: Ofício(64362344) Manifestação de Interesse; 08/09/26: Despacho DAMGI(62834700) encaminhando Minuta de Ofício (Manifestação de interesse) em 16/07/26; 20/07/26: CGAGC instrurá novo processo com Manifestação de interesse para Curso Síncrono - Orçamento sensivel a raça - verificar processo com Ana Carolina 13/07/26: Não ocorrerá em 2026; 22/12/2025: Ações do FIAR, para programação junto à ENAP Verificar com a Carol</t>
  </si>
  <si>
    <t>0400 - Formação de gestores públicos para promoção da igualdade racial</t>
  </si>
  <si>
    <t>FIAR - FIAR Novos cursos na EVG (Escola Virtual de Governo) - atendimento ao público</t>
  </si>
  <si>
    <t>21290.001685/2026-19</t>
  </si>
  <si>
    <t>Planejamento</t>
  </si>
  <si>
    <t>19/10/26: Checklist de Instrução Mínima Obrigatória (65171082); 13/10/26: Despacho (64245486) Manifestação de Interesse; 21/09/26: Despacho(64245486) envio do Ofício Manifestação de Interesse; 08/09/26: Ofício (64213089)Manifestação de Interesse para o devido acompanhamento;  31/08/26: Ofício Gab (63650358) a ser assinado; 10/08/26: Despacho DAMGI (63449289), a ser assinado, encaminhando Minuta de Ofício sobre descentralização de créditos entre MIR e Enap no âmbito do FIAR; 03/08/26:Novos cursos EVG: Parcerias com a Diretoria de Desenvolvimento Profissional DDPro-Enap. Ainda não enviado para ENAP. 13/07/26 Ações do FIAR, processo iniciado. Novos cursos EVG</t>
  </si>
  <si>
    <t xml:space="preserve">FIAR ENAP - Vagas para servidores negros do Sinapir em MBA em gestão pública  </t>
  </si>
  <si>
    <t>21290.001553/2025-06</t>
  </si>
  <si>
    <t>Aguardando Empenho</t>
  </si>
  <si>
    <t xml:space="preserve">19/10/26: Relatório parcial prestação de contas (63783310); 17/08/26: e-mail (61462875) sobre vagas remananescentes em 29/04/26; 27/07/26: repassado o financeiro em janeiro/2026 (SEI 57424120). 2026NC0000044 (57172406) emitida em janeiro/2026 corresponde à última parcela do TED.                             22/12/2025: TED em execução. Conforme apostilamento (SEI 55813777), após a assinatura foi descentralizado o valor R$ 19.579,72 (SEI 55666534). </t>
  </si>
  <si>
    <t>TED UNB - Casa da Igualdade Racial  (disseminação do apoio aos Núcleos de prática jurídica e outros serviços voltados para a Casa)</t>
  </si>
  <si>
    <t>21290.004151/2025-55</t>
  </si>
  <si>
    <t>UNB</t>
  </si>
  <si>
    <r>
      <rPr>
        <sz val="9"/>
        <color rgb="FFFF0000"/>
        <rFont val="Calibri"/>
      </rPr>
      <t xml:space="preserve">19/10/26: Despacho(56580718)encaminhamento do Ofício 18096 (56518582) à UnB; 13/10/26: Redução do valor programado de R$ 2,9 mi para R$ 0,00. Aguardando resposta da UNB, desde dezembro/2025, ao OFÍCIO SEI Nº 18096/2025/MIR 56518582. Plano de trabalho, em análise na DAMGI/CGAGC. Realizadas reuniões com </t>
    </r>
    <r>
      <rPr>
        <sz val="9"/>
        <color rgb="FF000000"/>
        <rFont val="Calibri"/>
      </rPr>
      <t xml:space="preserve">SEA </t>
    </r>
    <r>
      <rPr>
        <sz val="9"/>
        <color rgb="FFFF0000"/>
        <rFont val="Calibri"/>
      </rPr>
      <t>e DAMGI/MIR, para fortalecimento da Casa da Igualdade Racial. Solicitação de Manifestação de interesse encaminhada ao Gabinete SENAPIR em 09/12/2025 - (SEI 56182188). O TED objetiva apoiar núcleos de pesquisa e extensão no desenvolvimento de ações nas Casas de Igualdade de Racial. A ação proposta tem foco no fortalecimento do atendimento multidisciplinar à vítima de racismo, abrangendo suporte jurídico, psicossocial e ações de promoção da igualdade racial, alinhadas às políticas públicas do Governo Federal e às atribuições desde Ministério.</t>
    </r>
  </si>
  <si>
    <t>Projetos Redes – TEDs com IFES das cinco regiões, a partir de chamamento público;</t>
  </si>
  <si>
    <t>21290.200112/2024-04</t>
  </si>
  <si>
    <t>Tatiana</t>
  </si>
  <si>
    <t>Diversos</t>
  </si>
  <si>
    <t>19/10/26: memória de reunião(50682620) em 13/05/2025; 17/08/26: encaminhado o Ofício 18096 (56518582) à Universidade de Brasília em 23/12/25;  27/07/26: Exclusão do valor programado. 22/06/2026: Edital em elaboração. Ver com a Tatiana</t>
  </si>
  <si>
    <t>TED - UFF sobre orçamento público de igualdade racial.</t>
  </si>
  <si>
    <t> 21290.000123/2026-40</t>
  </si>
  <si>
    <t>UFF</t>
  </si>
  <si>
    <t>19/10/26: Ofício Gab SENAPIR(62878427) a ser assinado; 10/08/26: Despacho DAMGI (62721938)defeso eleitoral em 09/07/26; 06/07/26: Exclusão do valor programado na JEO. Está em análise, teve o valor global reduzido; 22/06/26: Despacho DAMGI 62147714 encaminhando ao Gabinete; 28/5 - Conclusão dos ajustes  em PT para envio ao Gabinete SENAPIR. 06/04/2026: Processo em Instrução processual. enviado à UFF OFÍCIO SEI Nº 2677/2026/MIR em 03/03/2026 ainda sem resposta</t>
  </si>
  <si>
    <t>TED - UFF CERD</t>
  </si>
  <si>
    <t>21290.000127/2026-28</t>
  </si>
  <si>
    <t>19/10/26: e-mail (65170666) informando a liberação da programação financeira a UFF; 13/10/26:Despacho(64692938) Resposta sobre a indicação de Gestor de Parceria responsável pelo acompanhamento. Publicação; 21/09/26: Ofício (64547093) a ser assinado; 14/09/26: Despacho(63811282) Descentralização orçamentária R$ 204.000,00; 17/07/26: Despacho DAMGI(63659507) ao Gab indicação de gestores titular e suplente; 10/08/26: Extrato de publicação do tedinho(63489682);  07/08/26: e-mail (63276521) Extrato da Descentralização de crédito - MIR X UFF;  27/07/26: Despacho(62948635) Certificação de Disponibilidade; 20/07/26: Despacho DGA (62947323) autorização prévia; 13/07/26: Despacho (62817387)defeso eleitoral; 06/07/26: Ajustes realizados e reenvio para SE/MIR em 02/06 (61811202). Instrução completa enviada para SE/MIR em 22/05 -  SEI 61467420</t>
  </si>
  <si>
    <t>ADITIVO - GTMapir                                                    Desenvolvimento de avaliações e consultorias voltadas à políticas prioritárias do GTMAPIR</t>
  </si>
  <si>
    <t>21290.001930/2025-07</t>
  </si>
  <si>
    <r>
      <rPr>
        <sz val="9"/>
        <color rgb="FFFF0000"/>
        <rFont val="Calibri"/>
      </rPr>
      <t xml:space="preserve">19/10/26: e-mail(64868367) Solicitação de Pretação de contas em 1/10/26; 28/09/26: Nota Técnica(62806366)Avaliação técnica dos produtos finais (Enap); 21/09/26: Despacho Gab SENAPIR(62882663) fim de vigência em 03/06/26; 13/07/26: Nota Técnica (62806366) Avaliação técnica dos produtos finais; 06/07/26:Despacho Gab. SENAPIR (60551170) Comunicação de fim de vigência;  26/05/2026: Em discussão com ENAP, objetivo é processo de Avaliação ex-post dos demais programas estratégicos do MIR.   </t>
    </r>
    <r>
      <rPr>
        <b/>
        <sz val="9"/>
        <color rgb="FF000000"/>
        <rFont val="Calibri"/>
      </rPr>
      <t>235.000,00</t>
    </r>
    <r>
      <rPr>
        <sz val="9"/>
        <color rgb="FFFF0000"/>
        <rFont val="Calibri"/>
      </rPr>
      <t xml:space="preserve"> </t>
    </r>
  </si>
  <si>
    <t>Seminário - Apresentação de pesquisas e política públicas</t>
  </si>
  <si>
    <t>22/12/2025: Objetiva-se a realização de Encontro com pesquisadores ligados às estratégias do MIR de apoio a NEABs e pesquisas para fortalecimento do SINAPIR.</t>
  </si>
  <si>
    <t>FIAR - FIAR ENAP aqui - 12 turmas (Incluindo Casa da Igualdade Racial)</t>
  </si>
  <si>
    <t>21290.002084/2025-34</t>
  </si>
  <si>
    <t>Tedinho</t>
  </si>
  <si>
    <t>19/10/26: Ofício Gab SENAPIR(65019655) a ser assinado; 05/10/26: Despacho DAMGI(64807894) a ser assinado; 28/09/26: Ofício(64464215) Resposta sobre o Programa “Enap Aqui Igualdade Racial: Estratégias de Implementação Local”; 14/09/26:Despacho(64258697)Indicação de localidades para realização das oficinas Enap Aqui08/09/26: Despacho(64145388)Indicação de localidades para realização das oficinas Enap Aqui – Igualdade Racial: Estratégias de Implementação Local; 31/08/26: Despacho(63912851) com a Nota Informativa SEI nº 461/2026/MIR (SEI nº 63903572), que trata do andamento do programa “Enap Aqui Igualdade Racial; 24/08/26: Despacho (63846784)indicação de estados e municípios para realização de novas edições da Oficina Enap Aqui; 17/08/26: Despacho Gab(63394096)Convite para participação na abertura das Oficinas "Enap Aqui" em 06/08/26; 03/08/26: E-mail (62315453) Divulgação e apoio à mobilização para participação na Oficina "Enap Aqui! Igualdade Racial: Estratégias de Implementação Local". Ofício (62306196) 29/06/26: Nota Jurídica 62195996. não se enquadram nas proibições legais, desde que as ações efetivamente
desenvolvidas se mantenham dentro do espectro meramente técnico-acadêmico, congruentes com o Programa Enap
Aqui; 26/05/2026: em abril/2026 Nota de Crédito 192 (SEI 60964125)15/04/2026: aguardando assinatura pelo MIR e pela instituição para posterior publicação. 07/04/2026: Manifestação de interesse enviada (SEI 52329757). Em 01 e 02 de dezembro/2025, foi realizado projeto piloto em parceria com a SEPROMI/BA. (59699323) Certificação de Disponibilidade Orçamentária.</t>
  </si>
  <si>
    <t>FIAR - FIAR Cátedras Negras</t>
  </si>
  <si>
    <t>21290.002144/2026-08</t>
  </si>
  <si>
    <t>Luciano Goes</t>
  </si>
  <si>
    <t>19/10/26: Despacho(62540214) encaminhamento de Manifestação de Interesse à ENAP no dia 30/06/26; 17/08/26: Manifestação de interesse Ofício (62495465) em 01/07/26; 29/06/26: Ofício 62051569 Plano de Trabalho Execução Descentralizada entre MIR e ENAP encaminhado a SE. Em diálogo com ENAP, para PT. Concluindo instrução para envio de Manifestação de Interesse</t>
  </si>
  <si>
    <t xml:space="preserve">Apoio técnico aos entes SINAPIR </t>
  </si>
  <si>
    <t>22/12/2025: Tem como objetivo instituir coordenação de pesquisadores ligados às estratégias do MIR de apoio a NEABs e pesquisas para fortalecimento do SINAPIR. Ver com Ana Carolina</t>
  </si>
  <si>
    <t>FIAR - Evidências express</t>
  </si>
  <si>
    <t>TED UNB - COPENE</t>
  </si>
  <si>
    <t>21290.001227/2026-71</t>
  </si>
  <si>
    <t>Gabinete/DAMGI</t>
  </si>
  <si>
    <t>19/10/26:Roteiro(65081105) PROGRAMAÇÃO COMPLETA; 05/10/26 Ofício(64473211) Publicação da designação de gestores do TED Nº 14/2026; 14/09/26: Despacho DGA(63355674) indicação de gestores; 03/08/26: Despacho (63247545) indicação de gestores; 27/07/26: Despacho(63130733) Termo de Execução Descentralizada nº 14/2026 - MIR X UnB; 20/07/26: NC e PF emitidas; 13/07/26: Aguardando a assinatura da Ministra. TED(62745335)</t>
  </si>
  <si>
    <t>Material Gráfico</t>
  </si>
  <si>
    <t>21290.000732/2025-18</t>
  </si>
  <si>
    <t>MGI</t>
  </si>
  <si>
    <t>19/10/26: Valores de despesas administrativas; 22/06/26. Verificar com a Luciana Rangel outros valores que foram empenhados no PO 0001 DAMGI: UFPR R$ 1.196,38; MGI R$ 4.154,96</t>
  </si>
  <si>
    <t>Casa da Igualdade Racial 2 + Inclusão Produtiva</t>
  </si>
  <si>
    <t>21290.002082/2026-26</t>
  </si>
  <si>
    <t>Edvânio Macedo</t>
  </si>
  <si>
    <t>19/10/26: Ofício (62031616)manifestou seu interesse em estabelecer parceria com esse Ministério</t>
  </si>
  <si>
    <t>2026</t>
  </si>
  <si>
    <t>DAI</t>
  </si>
  <si>
    <t>FIOCRUZ</t>
  </si>
  <si>
    <t xml:space="preserve">Sem decisão técnica e política  sobre a tramitação processual do instrumento adequado. A IN está em discussão interna. </t>
  </si>
  <si>
    <t xml:space="preserve">Agentes 2 e Xica 1 </t>
  </si>
  <si>
    <t>21290.002528/2025-31</t>
  </si>
  <si>
    <t>UFRB</t>
  </si>
  <si>
    <t xml:space="preserve">Incubadora do Afroturismo/Rotas Negras/Centro de Estudos Estratégicos
</t>
  </si>
  <si>
    <t xml:space="preserve">21290.000354/2026-53 </t>
  </si>
  <si>
    <t>UFSM</t>
  </si>
  <si>
    <t xml:space="preserve">PAS Periferias Urbanas e Racismo Ambiental - SINAPIR pelo Clima 
</t>
  </si>
  <si>
    <t>21290.004107/2025-45</t>
  </si>
  <si>
    <t>UFMA</t>
  </si>
  <si>
    <t>Retornou para Gabin da SENAPIR com ajustes, a UFMA está realizando os últimos ajustes do plano de trabalho.</t>
  </si>
  <si>
    <t xml:space="preserve"> Fortalecimento a Cadeia Produtiva do Carnaval/Trabalhadores </t>
  </si>
  <si>
    <t xml:space="preserve">21290.001137/2026-81 </t>
  </si>
  <si>
    <t>Aditivo Fiocruz - Casas, Flilio</t>
  </si>
  <si>
    <t>21290.002700/2025-57</t>
  </si>
  <si>
    <t xml:space="preserve">Aguardando a Fiocruz enviar formalmente o PT e Ofício assinado </t>
  </si>
  <si>
    <t>UFMA ADITIVO PLANAPIR ADPF</t>
  </si>
  <si>
    <t>21290.002331/2025-01</t>
  </si>
  <si>
    <t xml:space="preserve">UFMA </t>
  </si>
  <si>
    <t>Cronograma de desembolso de 2025, passivo para 2026. TED FIOCRUZ</t>
  </si>
  <si>
    <t>Edital  Equipagem (licitação e 07/2026)</t>
  </si>
  <si>
    <t>21290.000520/2026-11</t>
  </si>
  <si>
    <t xml:space="preserve">Decisão política sobre alocação de valor. Atenção à Janela do GND para reversão  </t>
  </si>
  <si>
    <t>APOIO A SQPT</t>
  </si>
  <si>
    <t>21290.001965/2026-19</t>
  </si>
  <si>
    <t>19/10/26: Despacho(64971458) solicita a indicação dos servidores designados como Fiscal Titular e Fiscal Suplente; 05/10/26: Despacho(64869229)Descentralização de crédito no valor de R$ 2.000.000,00; 28/09/26: Ofício(64705318) Indicação de gestor da parceria; 21/09/26: Despacho (64280473) Descentralização Orçamentária</t>
  </si>
  <si>
    <t xml:space="preserve"> </t>
  </si>
  <si>
    <t>ACOMPANHAMENTO EXECUÇÃO FINALÍSTICAS - 2026</t>
  </si>
  <si>
    <t>2023</t>
  </si>
  <si>
    <t>Promover atividades formativas para Povos e Comunidades Tradicionais orientadas pelas perspectivas da sustentabilidade dos territórios, da bioculturalidade e da interculturalidade.</t>
  </si>
  <si>
    <t xml:space="preserve">
21290.201747/2023-30
</t>
  </si>
  <si>
    <t>DPTMAT</t>
  </si>
  <si>
    <t>Regiane</t>
  </si>
  <si>
    <t>UnB</t>
  </si>
  <si>
    <t>Objetivo Especifíco 0264 - Criar mecanismos de identificação e enfrentamento à violência e à discriminação contra quilombolas, povos e comunidades tradicionais de matriz africana, povos de terreiros e ciganos</t>
  </si>
  <si>
    <t xml:space="preserve">CGPC </t>
  </si>
  <si>
    <t xml:space="preserve">Marciele </t>
  </si>
  <si>
    <t>CGPQ</t>
  </si>
  <si>
    <t>Erlon</t>
  </si>
  <si>
    <t>Apoiar a elaboração e implementação do Plano de Gestão Territorial e Ambiental do Quilombo Kalunga, em Cavalcante-GO</t>
  </si>
  <si>
    <t>21290.001522/2025-47</t>
  </si>
  <si>
    <t>DQC</t>
  </si>
  <si>
    <t>IFG</t>
  </si>
  <si>
    <t>setembro</t>
  </si>
  <si>
    <t>Reunião SE 06/10 - Verificar adequação do valor da parceria
Processo enviado a DGA para tramitação quanto ao apostilamento</t>
  </si>
  <si>
    <t>2228 - Planos locais de Gestão Territorial e Ambiental Quilombolas</t>
  </si>
  <si>
    <t xml:space="preserve">Plano de Recontrução do Rio Grande do Sul /Realizar diagnóstico socioeconômico em todas as comunidades impactadas pela crise; Elaboração do Plano de Reconstrução e Elaboração de protocolo de atendimento para situação de desastres ambientais </t>
  </si>
  <si>
    <t>21290.001171/2025-74</t>
  </si>
  <si>
    <t>CGPC</t>
  </si>
  <si>
    <t>Marciele</t>
  </si>
  <si>
    <t>UFRGS</t>
  </si>
  <si>
    <t>2228 - Planos locais de Gestão Territorial e Ambiental Quilombolas
Fomentar ações que fortaleçam as práticas agroecológicas, o fornecimento energético, o saneamento, a soberania alimentar, a valorização cultural, social, os saberes e fazeres dos quilombolas, povos e comunidades tradicionais de matriz africana, povos de terreiros e ciganos​</t>
  </si>
  <si>
    <t>Projeto de Pesquisa e Desenvolvimento de Relatórios sobre Identificação e Delimitação de Terras de Quilombos no Estado do Rio de Janeiro: reconhecimento territorial em situações de conflitos</t>
  </si>
  <si>
    <t>21290.000071/2025-21</t>
  </si>
  <si>
    <t>UFF (Aditivo)</t>
  </si>
  <si>
    <t xml:space="preserve">Pesquisas para subsidiar o desenvolvimento de políticas territoriais e ambientais em terras e comunidades
quilombolas.
</t>
  </si>
  <si>
    <t>21290.001092/2026-44</t>
  </si>
  <si>
    <t>Empenho Parcial</t>
  </si>
  <si>
    <t>agosto</t>
  </si>
  <si>
    <t>1 - Oficina de Disseminação da PNGTAQ, Elaboração e Execução da PGTAQ, Curso de Formação
2 - 2228.  Planos Locais de Gestão Territorial e Ambiental Quilombola. 
4 - Fomentar ações que fortaleçam as práticas agroecológicas, o fornecimento energético, o saneamento, a soberania alimentar, a valorização cultural, social, os saberes e fazeres dos quilombolas, povos e comunidades tradicionais de matriz africana, povos de terreiros e ciganos
5 - Oficinas de capacitação para desenvolvimento de ferramentas de aplicação de tratamento de água, esgoto e efluentes, gestão de energia descentralizada e práticas agroecológicas.</t>
  </si>
  <si>
    <t>Fortalecimento da Política Nacional de Gestão Territorial e Ambiental Quilombola - Curso de Formação de profissionais para PGTAQ</t>
  </si>
  <si>
    <t>21290.000112/2026-60</t>
  </si>
  <si>
    <t>UNIVASF</t>
  </si>
  <si>
    <t>2228. Planos Locais de Gestão Territorial e Ambiental Quilombola.
"Elaboração de ações e atividades que visam o fortalecimento das políticas para Povos Ciganos no país (PNPC). 
Formação para gestores servidores públicos acerca dos direitos dos quilombolas, povos e comunidades tradicionais de matriz africana, povos de terreiro e ciganos nas instituições públicas
323 Fomentar ações que fortaleçam as práticas agroecológicas, o fornecimento energético, o saneamento, a soberania alimentar, a valorização cultural, social, os saberes e fazeres dos quilombolas, povos e comunidades tradicionais de matriz africana, povos de terreiros e ciganos.
"</t>
  </si>
  <si>
    <t>Promoção de apoio e de valorização da diversidade étnico-racial das Comunidades Quilombolas e dos Povos Ciganos.</t>
  </si>
  <si>
    <t>21290.000858/2026-73</t>
  </si>
  <si>
    <t>Mar</t>
  </si>
  <si>
    <t>IFRN</t>
  </si>
  <si>
    <t>Fortalecimento da Diversidade, Cultura e Território para Quilombolas, Povos e Comunidades Tradicionais de Matriz Africana, Povos de Terreiros e Ciganos</t>
  </si>
  <si>
    <t>21290.004335/2025-15</t>
  </si>
  <si>
    <t>UFG</t>
  </si>
  <si>
    <t>Entrega: 2076 - Oficinas de capacitação para desenvolvimento de ferramentas de aplicação de tratamento de água, esgoto e efluentes, gestão de energia descentralizada e práticas agroecológicas.</t>
  </si>
  <si>
    <t xml:space="preserve">DPTMAT </t>
  </si>
  <si>
    <t>Apoiar ações estruturantes voltadas à promoção de direitos, sustentabilidade, justiça social e enfrentamento ao racismo religioso, para os Povos e Comunidades Tradicionais de Terreiro e de Matriz Africana.</t>
  </si>
  <si>
    <t>21290.000819/2025-95</t>
  </si>
  <si>
    <t>FIOCRUZ (repasse + aditivo)</t>
  </si>
  <si>
    <t>outubro</t>
  </si>
  <si>
    <t>Processo enviado à DGA para formalização do aditivo</t>
  </si>
  <si>
    <t>Criar mecanismos de identificação e de enfrentamento à violência e à discriminação contra quilombolas, povos e comunidades tradicionais de matriz africana, povos de terreiros e ciganos</t>
  </si>
  <si>
    <t xml:space="preserve"> Kit Costura para Povos de Terreiro e Matriz Africana </t>
  </si>
  <si>
    <t>21290.000953/2026-77</t>
  </si>
  <si>
    <t>IFBA</t>
  </si>
  <si>
    <t>Tramitado para análise da DGA</t>
  </si>
  <si>
    <t xml:space="preserve">Entrega OE 0323- Fomentar ações que fortaleçam as práticas agroecológicas, o fornecimento energético, o saneamento, a soberania alimentar, a valorização cultural, social, os saberes e fazeres dos quilombolas, povos e comunidades tradicionais de matriz africana, povos de terreiros e ciganos. </t>
  </si>
  <si>
    <t xml:space="preserve">Preservar e difundir o patrimônio material e imaterial e as expressões culturais dos povos e das comunidades tradicionais de terreiro e de matriz africana </t>
  </si>
  <si>
    <t>21290.000181/2026-73</t>
  </si>
  <si>
    <t>A Universidade solicitou que o crédito fosse repassado integralmente na natureza de despesa 33.90.39, para que seja possível realizar o empenho</t>
  </si>
  <si>
    <t xml:space="preserve">Impressões de relatórios Abre Caminhos, </t>
  </si>
  <si>
    <t>21290.003736/2025-58</t>
  </si>
  <si>
    <t>Serviços</t>
  </si>
  <si>
    <t>Apoiar a execução de ações governamentais que consolidem as políticas públicas previstas, garantindo avanços concretos em direitos, inclusão e acesso a serviços essenciais para os povos ciganos.</t>
  </si>
  <si>
    <t>21290.000773/2026-95</t>
  </si>
  <si>
    <t xml:space="preserve">aguardando empenho de 540 mil </t>
  </si>
  <si>
    <t>Implementação do PGTAQ Boa Vista +30</t>
  </si>
  <si>
    <t>14021.020213/2026-61</t>
  </si>
  <si>
    <t>UFOPA</t>
  </si>
  <si>
    <t>Processo enviado à DGA para formalização</t>
  </si>
  <si>
    <t>Acompanhar, monitorar e qualificar as políticas públicas junto às Comunidades Quilombolas no âmbito do Programa Aquilomba Brasil.</t>
  </si>
  <si>
    <t>21290.001443/2025-36</t>
  </si>
  <si>
    <t xml:space="preserve">FIOCRUZ </t>
  </si>
  <si>
    <t>Impressão Guia do Mapeamento</t>
  </si>
  <si>
    <t>Implementação da Estratégia de Enfrentamento ao Racismo Ambiental</t>
  </si>
  <si>
    <t>Assinado, aguardando repasse de recurso</t>
  </si>
  <si>
    <t>IFRN (aditivo)</t>
  </si>
  <si>
    <t xml:space="preserve">
O processo necessitará de ajuste, tendo em vista que a parceria estabelecida entre o MIR e MDHC foi encerrada em 2 de agosto, não sendo possível, dessa forma, efetivar o repasse ao IFRN do valor de R$ 243.000,00, destinado ao apoio à realização do 4º EGBE – Encontro Nacional das Culturas dos Povos de Matriz Africana: O Poder Ancestral, realizado no período de 4 a 7 de junho.
Ressalta-se que o valor total do aditivo corresponde a R$ 772.868,00. Desse montante, R$ 243.000,00 referem-se aos recursos originalmente recebidos do MDHC, destinados especificamente ao apoio à realização do 4º EGBE e 64.084, 00 é referente ao rateio de custos entre o MIR e o MMulheres para atendimento ao encontro de mulheres.
"
</t>
  </si>
  <si>
    <t>Copa Quilombola</t>
  </si>
  <si>
    <t>21290.002505/2026-16</t>
  </si>
  <si>
    <t>Processo na DGA aguardando formalização</t>
  </si>
  <si>
    <t>desenvolvimento de ações voltadas à mobilização e à organização de eventos relacionados à cultura alimentar dos povos de matriz africana e das comunidades tradicionais de Fundo de Pasto, bem como à promoção de ações de concertação para estruturação de rotas de comercialização baseadas na economia solidária da cadeia produtiva da caprinocultura, com ênfase no transporte da carga viva dos animais.</t>
  </si>
  <si>
    <t>21290.001920/2026-44</t>
  </si>
  <si>
    <t>EMBRAPA</t>
  </si>
  <si>
    <t>Foi solicitado pela DGA ajustes no PT (previsão de retorno até próxima semana 13 a 16/10)</t>
  </si>
  <si>
    <t>ADPF 973</t>
  </si>
  <si>
    <t>Parceria sendo tratado no âmbito da SENAPIR</t>
  </si>
  <si>
    <t xml:space="preserve">Seminário quilombola </t>
  </si>
  <si>
    <t>Evento</t>
  </si>
  <si>
    <t>Ata de eventos</t>
  </si>
  <si>
    <t>planejamento</t>
  </si>
  <si>
    <t>Diárias e Passagens</t>
  </si>
  <si>
    <t>Promoção da igualdade racial e combate ao racismo por meio do desenvolvimento de iniciativas de saúde e educação.</t>
  </si>
  <si>
    <t>21290.002730/2026-44</t>
  </si>
  <si>
    <t>GAB.SEPAR</t>
  </si>
  <si>
    <t>Marcelo Raul</t>
  </si>
  <si>
    <t>Desenvolver e apoiar ações integradas de formação, articulação territorial, reconhecimento de iniciativas e produção de subsídios técnicos voltadas à promoção dos direitos humanos, do bem  viver, do acesso ao mundo do trabalho, do direito à saúde e de agentes territoriais, com foco no fortalecimento das juventudes negras em seus território</t>
  </si>
  <si>
    <t>21290.001624/2026-43</t>
  </si>
  <si>
    <t>DCR</t>
  </si>
  <si>
    <t>Florence</t>
  </si>
  <si>
    <t>Apostilar alteração de cronograma de desembolso</t>
  </si>
  <si>
    <t>Promoção de Justiça Racial e Garantia de Direitos às Pessoas Privadas de Liberdade - ADPF 347</t>
  </si>
  <si>
    <t>21290.001638/2026-67</t>
  </si>
  <si>
    <t>DAG</t>
  </si>
  <si>
    <t>Lívia</t>
  </si>
  <si>
    <t>Secretaria de Orçamento Federal</t>
  </si>
  <si>
    <t>SIOP Gerencial - Execucao Orçamentária - Execução e RAP</t>
  </si>
  <si>
    <t>Data de geração deste relatório: 25/07/2024 14:46:22</t>
  </si>
  <si>
    <t>Unidade</t>
  </si>
  <si>
    <t>Ação</t>
  </si>
  <si>
    <t>RAP Pago</t>
  </si>
  <si>
    <t>RAP A Pagar</t>
  </si>
  <si>
    <t>Observação</t>
  </si>
  <si>
    <t>GAB/SE</t>
  </si>
  <si>
    <t>"0000"</t>
  </si>
  <si>
    <t>"000B"</t>
  </si>
  <si>
    <t>"000C"</t>
  </si>
  <si>
    <t>210H</t>
  </si>
  <si>
    <t>TOTAL GAB/SE</t>
  </si>
  <si>
    <t> </t>
  </si>
  <si>
    <t>21AR</t>
  </si>
  <si>
    <t>"0001"</t>
  </si>
  <si>
    <t>TOTAL SEPAR</t>
  </si>
  <si>
    <t>"0002"</t>
  </si>
  <si>
    <t>"0003"</t>
  </si>
  <si>
    <t>TOTAL SQPT</t>
  </si>
  <si>
    <t>"000J"</t>
  </si>
  <si>
    <t>TOTAL SENAPIR</t>
  </si>
  <si>
    <t>21AT</t>
  </si>
  <si>
    <t>"0007"</t>
  </si>
  <si>
    <t>TOTAL CNPIR</t>
  </si>
  <si>
    <t>Emendas</t>
  </si>
  <si>
    <t>TOTAL Emendas</t>
  </si>
  <si>
    <t>EMENDAS PARLAMENTARES INDIVIDUAIS  RP6 - 2024</t>
  </si>
  <si>
    <t>QTD</t>
  </si>
  <si>
    <t>Nome Parlamentar</t>
  </si>
  <si>
    <t>UF</t>
  </si>
  <si>
    <t>Município</t>
  </si>
  <si>
    <t>Emenda</t>
  </si>
  <si>
    <t>Ptres</t>
  </si>
  <si>
    <t>Programa</t>
  </si>
  <si>
    <t>Processo</t>
  </si>
  <si>
    <t>Numero Interno</t>
  </si>
  <si>
    <t>Nº da Proposta</t>
  </si>
  <si>
    <t>Nº do Instumento</t>
  </si>
  <si>
    <t>Modalidade</t>
  </si>
  <si>
    <t>Beneficiário</t>
  </si>
  <si>
    <t>Objeto</t>
  </si>
  <si>
    <t>CNPJ</t>
  </si>
  <si>
    <t>Total</t>
  </si>
  <si>
    <t>Área Técnica</t>
  </si>
  <si>
    <t>Técnico</t>
  </si>
  <si>
    <t>Parecer Técnico</t>
  </si>
  <si>
    <t>Formulário / Compromisso</t>
  </si>
  <si>
    <t>Empenho</t>
  </si>
  <si>
    <t>Data da liberação do recurso</t>
  </si>
  <si>
    <t xml:space="preserve">Gestor da Parceria </t>
  </si>
  <si>
    <t>Contato</t>
  </si>
  <si>
    <t>Situação</t>
  </si>
  <si>
    <t>Custeio (3)</t>
  </si>
  <si>
    <t>Investimento (4)</t>
  </si>
  <si>
    <t>Fonte: SCDP 03/10/ 2024</t>
  </si>
  <si>
    <t>AÇÃO
(a)</t>
  </si>
  <si>
    <t>NOTA DE EMPENHO
(b)</t>
  </si>
  <si>
    <t>VALOR EMPENHADO
(c)</t>
  </si>
  <si>
    <t>VALOR EXECUTADO
(d)</t>
  </si>
  <si>
    <t>DISPONÍVEL
(e) = (c) - (d)</t>
  </si>
  <si>
    <t>(%)
(f) = (d) / (c)</t>
  </si>
  <si>
    <t>% Passages e diarias em relação à dotação RP2</t>
  </si>
  <si>
    <t>Subtotal - Dárias no país</t>
  </si>
  <si>
    <t>Passagens e Diarias</t>
  </si>
  <si>
    <t>33901414 - Diárias no País</t>
  </si>
  <si>
    <t>8100082024NE000001 </t>
  </si>
  <si>
    <t>Dotação</t>
  </si>
  <si>
    <t>Subtotal - Diárias no Exterior</t>
  </si>
  <si>
    <t>33901416 - Diárias no Exterior</t>
  </si>
  <si>
    <t>8100082024NE000016 </t>
  </si>
  <si>
    <t>Subtotal - Passagens no país</t>
  </si>
  <si>
    <t>33903301 - Passagens para o País</t>
  </si>
  <si>
    <t>8100052024NE000019 </t>
  </si>
  <si>
    <t>2010572024NE000157 </t>
  </si>
  <si>
    <t>Subtotal - Passagens para o Exterior</t>
  </si>
  <si>
    <t>33903302 - Passagens para o Exterior</t>
  </si>
  <si>
    <t>8100052024NE000141 </t>
  </si>
  <si>
    <t>Subtotal - Diarias Colaboradores Eventuais</t>
  </si>
  <si>
    <t>33903601 - Diárias a Colaboradores Eventuais no pais</t>
  </si>
  <si>
    <t>8100082024NE000002 </t>
  </si>
  <si>
    <t>33903602 - Diárias a Colaboradores Eventuais no Exterior</t>
  </si>
  <si>
    <t>8100082024NE000084 </t>
  </si>
  <si>
    <t>Subtotal - Indenizações e restituições</t>
  </si>
  <si>
    <t>339093 - Indenizações e Restituições</t>
  </si>
  <si>
    <t>8100082024NE000010 </t>
  </si>
  <si>
    <t>Subtotal - Seguro Viagem</t>
  </si>
  <si>
    <t>339039 - Seguro Viagem</t>
  </si>
  <si>
    <t>8100052024NE000143 </t>
  </si>
  <si>
    <t>21FC</t>
  </si>
  <si>
    <t>8100082024NE000007 </t>
  </si>
  <si>
    <t>8100082024NE000017 </t>
  </si>
  <si>
    <t>8100052024NE000035 </t>
  </si>
  <si>
    <t>2010572024NE000156 </t>
  </si>
  <si>
    <t>8100052024NE000140 </t>
  </si>
  <si>
    <t>33903602 - Diárias a Colaboradores Eventuais no pais</t>
  </si>
  <si>
    <t>8100082024NE000008 </t>
  </si>
  <si>
    <t>21FF</t>
  </si>
  <si>
    <t>8100082024NE000011 </t>
  </si>
  <si>
    <t>21FB</t>
  </si>
  <si>
    <t>8100082024NE000012</t>
  </si>
  <si>
    <t>21FD</t>
  </si>
  <si>
    <t>8100082024NE000014</t>
  </si>
  <si>
    <t>8100082024NE000020</t>
  </si>
  <si>
    <t>8100082024NE000018</t>
  </si>
  <si>
    <t>8100082024NE000019</t>
  </si>
  <si>
    <t>8100052024NE000135 </t>
  </si>
  <si>
    <t>8100052024NE000033 </t>
  </si>
  <si>
    <t>2010572024NE000231 </t>
  </si>
  <si>
    <t>2010572024NE000155 </t>
  </si>
  <si>
    <t>2010572024NE000232 </t>
  </si>
  <si>
    <t>8100052024NE000138 </t>
  </si>
  <si>
    <t>8100052024NE000137 </t>
  </si>
  <si>
    <t>8100052024NE000136 </t>
  </si>
  <si>
    <t>8100082024NE000013 </t>
  </si>
  <si>
    <t>8100082024NE000004 </t>
  </si>
  <si>
    <t>8100082024NE000015 </t>
  </si>
  <si>
    <t>21FE</t>
  </si>
  <si>
    <t>8100082024NE000005 </t>
  </si>
  <si>
    <t>8100082024NE000049 </t>
  </si>
  <si>
    <t>8100082024NE000050 </t>
  </si>
  <si>
    <t>8100052024NE000034 </t>
  </si>
  <si>
    <t>2010572024NE000154 </t>
  </si>
  <si>
    <t>8100052024NE000286 </t>
  </si>
  <si>
    <t>8100082024NE000006 </t>
  </si>
  <si>
    <t>21FG</t>
  </si>
  <si>
    <t>8100052024NE000036 </t>
  </si>
  <si>
    <t>8100082024NE000009 </t>
  </si>
  <si>
    <t>eLGl-_E6IESWa79RY-ax2iuoN7rWI-dLhfbHv3sOlYFUOTIzSkhYUlVZMjJTNTM3V1kyWjAxMFJPMCQlQCN0PWcu</t>
  </si>
  <si>
    <t>Form2</t>
  </si>
  <si>
    <t>{f62d1b90-5b8b-47b9-9246-cc08b8118503}</t>
  </si>
  <si>
    <t>ACOMPANHAMENTO EXECUÇÃO FINALÍSTICAS - 2024</t>
  </si>
  <si>
    <t>Diarias e Passagens</t>
  </si>
  <si>
    <t>2024</t>
  </si>
  <si>
    <t>Programa Institucional de Iniciação Científica nas Ações Afirmativas (PIBIC-Af) - CICLO 2024-2027</t>
  </si>
  <si>
    <t>21290.201128/2024-26</t>
  </si>
  <si>
    <t>DPA</t>
  </si>
  <si>
    <t>CNPq</t>
  </si>
  <si>
    <t xml:space="preserve">  </t>
  </si>
  <si>
    <t>Implementação do “Observatório AmeÁfrica: diálogos de políticas e experiências Sul-Sul</t>
  </si>
  <si>
    <t>21290.204058/2023-87</t>
  </si>
  <si>
    <t>Kátia Regis</t>
  </si>
  <si>
    <t xml:space="preserve">Programa Sankofa </t>
  </si>
  <si>
    <t>21290.003287/2025-48</t>
  </si>
  <si>
    <t>GAB/DPA</t>
  </si>
  <si>
    <t xml:space="preserve">Marcelo Raul </t>
  </si>
  <si>
    <t>087F – Implementação da Política Nacional de Combate ao Racismo Ambiental
0880 – Execução do TED do Fórum Nacional de Combate ao Racismo Ambiental</t>
  </si>
  <si>
    <t>ADITIVO Promoção da Cidadania Antirracista, da Reparação Histórica e do Desenvolvimento Socioeconômico da população negra.</t>
  </si>
  <si>
    <t>21290.003389/2025-63</t>
  </si>
  <si>
    <t>GAB</t>
  </si>
  <si>
    <t>IFG (Aditivo)</t>
  </si>
  <si>
    <t>08C2 – Produção de dados e diagnósticos territoriais com recorte racial
087F – Subsídios técnicos para ações de enfrentamento ao racismo ambiental
0879 – Produção de evidências para enfrentamento ao racismo institucional</t>
  </si>
  <si>
    <t>Projeto Comunica Jovem - Estratégia de Comunicação Voluntária no combate ao Racismo (Paracambi / Japeri)</t>
  </si>
  <si>
    <t>21290.003046/2025-07</t>
  </si>
  <si>
    <t>IFRJ</t>
  </si>
  <si>
    <t>Ação de comunicação comunitária e educação antirracista, voltada ao enfrentamento do racismo em territórios vulnerabilizados, por meio da mobilização voluntária de jovens e da produção de conteúdos educativos, com impacto transversal nas políticas de promoção da igualdade racial.</t>
  </si>
  <si>
    <t>HQ - hip-hop - distribuição no Caminhos Amefricanos</t>
  </si>
  <si>
    <t>21290.003210/2025-78</t>
  </si>
  <si>
    <t xml:space="preserve">KÁTIA </t>
  </si>
  <si>
    <t xml:space="preserve">Contrato </t>
  </si>
  <si>
    <t>Ação de educação antirracista e difusão cultural, com valorização das africanidades e fortalecimento da cooperação Sul-Sul, no âmbito do Programa 5804.</t>
  </si>
  <si>
    <t xml:space="preserve"> Masculinidades em Debate - Papo de Baile do Maisum</t>
  </si>
  <si>
    <t>21290.001435/2026-71</t>
  </si>
  <si>
    <t>Vitor</t>
  </si>
  <si>
    <t>Avaliação e monitoramento dos impactos da lei nº 15.142/2025 (lei de cotas raciais nos concursos públicos)</t>
  </si>
  <si>
    <t>21290.001483/2026-69</t>
  </si>
  <si>
    <t>Univasf</t>
  </si>
  <si>
    <t>Apoio à OBERERI - Olimpíadas Brasileiras de Relações Étnico-Raciai</t>
  </si>
  <si>
    <t>21290.001071/2026-29</t>
  </si>
  <si>
    <t>Apoio ao XIV Congresso Nacional de Pesquisadores(as) Negros(as)</t>
  </si>
  <si>
    <t>03 intercâmbios institucionais (Panamá, México e Angola) / Comissões de Heteroidentificação / Edição Moçambique sem custear intercambistas (CAPES)</t>
  </si>
  <si>
    <t>21290.002404/2026-37</t>
  </si>
  <si>
    <t>Katia</t>
  </si>
  <si>
    <t>UNFPA</t>
  </si>
  <si>
    <t>Seminário Internacional de Justiça Racial e Cooperação Sul-Sul /  Intercâmbio – Edição Brasil / Intercâmbio – Edição China (BRICS)</t>
  </si>
  <si>
    <t>21290.000394/2026-03</t>
  </si>
  <si>
    <t>Vale do Jequitinhonha</t>
  </si>
  <si>
    <t>21290.003548/2025-20</t>
  </si>
  <si>
    <t xml:space="preserve">Convênio </t>
  </si>
  <si>
    <t>UNIMONTES</t>
  </si>
  <si>
    <t>PLANAPIR - ADPF 973 VIDAS NEGRAS</t>
  </si>
  <si>
    <t>DAI - SENAPIR</t>
  </si>
  <si>
    <t>ISADORA</t>
  </si>
  <si>
    <t>APOIO SENAPIR</t>
  </si>
  <si>
    <t>Beatriz Nascimento - 2° Chamada Atlanticas.</t>
  </si>
  <si>
    <t>21290.001921/2026-99</t>
  </si>
  <si>
    <t>Jean</t>
  </si>
  <si>
    <t>Programa de Ações Afirmativas - IRBr (ADITIVO)</t>
  </si>
  <si>
    <t>21290.001482/2025-33 - 21290.002314/2026-46</t>
  </si>
  <si>
    <t>SQPT - estruturação, implementação e operacionalização da Estratégia de Enfrentamento ao Racismo Ambiental, no âmbito do Ministério da Igualdade Racial.</t>
  </si>
  <si>
    <t>novembro</t>
  </si>
  <si>
    <t>dezembro</t>
  </si>
  <si>
    <t>DOTAÇÃO ATUALIZADA
2025</t>
  </si>
  <si>
    <t>(%)
Execução</t>
  </si>
  <si>
    <t>21FD - Fortalecimento e Desenvolvimento de Políticas para o Enfrentamento ao Racismo</t>
  </si>
  <si>
    <t>0000 - Fortalecimento e Desenvolvimento de Políticas para o Enfrentamento ao Racismo - Despesas Diversas</t>
  </si>
  <si>
    <t>21FB - Fomento das políticas de Ações Afirmativas</t>
  </si>
  <si>
    <t>0000 - Fomento das políticas de Ações Afirmativas - Despesas Diversas</t>
  </si>
  <si>
    <t>R$2.375.000(Empenhados)</t>
  </si>
  <si>
    <t xml:space="preserve">21HN - GESTAO DE POLITICAS DE ACOES AFIRMATIVAS E DE COMBATE
</t>
  </si>
  <si>
    <t>0000 -  GESTAO DE POLITICAS DE ACOES AFIRMATIVAS E DE COMBATE E SUPERACAO DO RACISMO - DESPESAS DIVERSAS</t>
  </si>
  <si>
    <t>Atualizado: 14/10/2026</t>
  </si>
  <si>
    <t>Número</t>
  </si>
  <si>
    <t>Valor Empenhado (R$)</t>
  </si>
  <si>
    <t>Valor Executado (R$)</t>
  </si>
  <si>
    <t>Disponível no Empenho (R$)</t>
  </si>
  <si>
    <t xml:space="preserve">1706052026NE000019 </t>
  </si>
  <si>
    <t xml:space="preserve">1706052026NE000020 </t>
  </si>
  <si>
    <t xml:space="preserve">1706052026NE000021 </t>
  </si>
  <si>
    <t xml:space="preserve">1706052026NE000022 </t>
  </si>
  <si>
    <t xml:space="preserve">1706052026NE000023 </t>
  </si>
  <si>
    <t xml:space="preserve">1706052026NE000173 </t>
  </si>
  <si>
    <t xml:space="preserve">1706052026NE000024 </t>
  </si>
  <si>
    <t xml:space="preserve">1706052026NE000025 </t>
  </si>
  <si>
    <t xml:space="preserve">1706052026NE000159 </t>
  </si>
  <si>
    <t xml:space="preserve">1706052026NE000026 </t>
  </si>
  <si>
    <t xml:space="preserve">2010572026NE000046 </t>
  </si>
  <si>
    <t xml:space="preserve">1706052026NE000027 </t>
  </si>
  <si>
    <t xml:space="preserve">1706052026NE000028 </t>
  </si>
  <si>
    <t xml:space="preserve">1706052026NE000160 </t>
  </si>
  <si>
    <t xml:space="preserve">1706052026NE000029 </t>
  </si>
  <si>
    <t xml:space="preserve">1706052026NE000030 </t>
  </si>
  <si>
    <t xml:space="preserve">1706052026NE000031 </t>
  </si>
  <si>
    <t>GABINETE</t>
  </si>
  <si>
    <t xml:space="preserve">1706052026NE000032 </t>
  </si>
  <si>
    <t xml:space="preserve">1706052026NE000033 </t>
  </si>
  <si>
    <t xml:space="preserve">1706052026NE000157 </t>
  </si>
  <si>
    <t xml:space="preserve">1706052026NE000034 </t>
  </si>
  <si>
    <t xml:space="preserve">1706052026NE000158 </t>
  </si>
  <si>
    <t xml:space="preserve">1706052026NE000213 </t>
  </si>
  <si>
    <t xml:space="preserve">1706052026NE000161 </t>
  </si>
  <si>
    <t xml:space="preserve">2010572026NE000045 </t>
  </si>
  <si>
    <t xml:space="preserve">1706052026NE000162 </t>
  </si>
  <si>
    <t xml:space="preserve">1706052026NE000163 </t>
  </si>
  <si>
    <t xml:space="preserve">1706052026NE000164 </t>
  </si>
  <si>
    <t xml:space="preserve">1706052026NE000165 </t>
  </si>
  <si>
    <t xml:space="preserve">1706052026NE000166 </t>
  </si>
  <si>
    <t xml:space="preserve">1706052026NE000167 </t>
  </si>
  <si>
    <t>Subtotal - Dárias no Exterior</t>
  </si>
  <si>
    <t xml:space="preserve">1706052026NE000168 </t>
  </si>
  <si>
    <t xml:space="preserve">1706052026NE000171 </t>
  </si>
  <si>
    <t xml:space="preserve">1706052026NE000169 </t>
  </si>
  <si>
    <t xml:space="preserve">1706052026NE000170 </t>
  </si>
  <si>
    <t xml:space="preserve">1706052026NE000172 </t>
  </si>
  <si>
    <t>339036033 - Diárias a Colaboradores Eventuais no Exterior</t>
  </si>
  <si>
    <t xml:space="preserve">1706052026NE000174 </t>
  </si>
  <si>
    <t xml:space="preserve">1706052026NE000175 </t>
  </si>
  <si>
    <t xml:space="preserve">1706052026NE000224 </t>
  </si>
  <si>
    <t xml:space="preserve">1706052026NE000225 </t>
  </si>
  <si>
    <t xml:space="preserve">1706052026NE000226 </t>
  </si>
  <si>
    <t xml:space="preserve">1706052026NE000228 </t>
  </si>
  <si>
    <t xml:space="preserve">1706052026NE000239 </t>
  </si>
  <si>
    <t xml:space="preserve">2010572026NE000047 </t>
  </si>
  <si>
    <t xml:space="preserve">2010572026NE000048 </t>
  </si>
  <si>
    <t xml:space="preserve">2010572026NE000049 </t>
  </si>
  <si>
    <t xml:space="preserve">2010572026NE000050 </t>
  </si>
  <si>
    <t xml:space="preserve">2010572026NE000051 </t>
  </si>
  <si>
    <t>21HN</t>
  </si>
  <si>
    <t>33903603 - Diárias a Colaboradores Eventuais no Exterior</t>
  </si>
  <si>
    <t>33903646 - Diárias a Conselheiros no 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</si>
</sst>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[$R$-416]\ * #,##0.00_-;\-[$R$-416]\ * #,##0.00_-;_-[$R$-416]\ * &quot;-&quot;??_-;_-@_-"/>
    <numFmt numFmtId="166" formatCode="&quot;R$&quot;\ #,##0.00"/>
    <numFmt numFmtId="167" formatCode="[$R$ -416]#,##0.00"/>
  </numFmts>
  <fonts count="6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2F75B5"/>
      <name val="Calibri"/>
      <family val="2"/>
    </font>
    <font>
      <b/>
      <sz val="16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9"/>
      <color theme="4" tint="-0.249977111117893"/>
      <name val="Calibri"/>
      <family val="2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0"/>
      <name val="Calibri"/>
      <family val="2"/>
    </font>
    <font>
      <sz val="11"/>
      <color theme="0"/>
      <name val="Aptos Narrow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i/>
      <sz val="12"/>
      <name val="Calibri"/>
      <family val="2"/>
    </font>
    <font>
      <b/>
      <sz val="12"/>
      <color rgb="FF16365C"/>
      <name val="Calibri"/>
      <family val="2"/>
    </font>
    <font>
      <sz val="12"/>
      <name val="Calibri"/>
      <family val="2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theme="1"/>
      <name val="Calibri"/>
      <family val="2"/>
    </font>
    <font>
      <sz val="10"/>
      <color rgb="FF000000"/>
      <name val="Calibri"/>
      <family val="2"/>
    </font>
    <font>
      <b/>
      <i/>
      <sz val="9"/>
      <color theme="1"/>
      <name val="Calibri"/>
      <family val="2"/>
    </font>
    <font>
      <sz val="11"/>
      <color theme="3" tint="0.249977111117893"/>
      <name val="Calibri"/>
      <family val="2"/>
    </font>
    <font>
      <sz val="11"/>
      <color rgb="FFFF0000"/>
      <name val="Calibri"/>
      <family val="2"/>
    </font>
    <font>
      <sz val="11"/>
      <color rgb="FF242424"/>
      <name val="Aptos Narrow"/>
      <family val="2"/>
    </font>
    <font>
      <b/>
      <sz val="11"/>
      <color theme="1"/>
      <name val="Aptos Narrow"/>
      <family val="2"/>
      <scheme val="minor"/>
    </font>
    <font>
      <sz val="9"/>
      <color rgb="FF44B3E1"/>
      <name val="Calibri"/>
      <family val="2"/>
    </font>
    <font>
      <sz val="9"/>
      <color theme="1"/>
      <name val="Calibri"/>
      <family val="2"/>
    </font>
    <font>
      <sz val="9"/>
      <color rgb="FF000000"/>
      <name val="Aptos Narrow"/>
      <family val="2"/>
      <scheme val="minor"/>
    </font>
    <font>
      <sz val="8"/>
      <color rgb="FF000000"/>
      <name val="Aptos Display"/>
      <family val="2"/>
      <scheme val="major"/>
    </font>
    <font>
      <sz val="9"/>
      <color theme="4" tint="0.39997558519241921"/>
      <name val="Calibri"/>
      <family val="2"/>
    </font>
    <font>
      <sz val="9"/>
      <color rgb="FF00B0F0"/>
      <name val="Calibri"/>
      <family val="2"/>
    </font>
    <font>
      <strike/>
      <sz val="9"/>
      <color theme="1"/>
      <name val="Calibri"/>
      <family val="2"/>
    </font>
    <font>
      <sz val="10"/>
      <color theme="1"/>
      <name val="Aptos Narrow"/>
      <family val="2"/>
      <scheme val="minor"/>
    </font>
    <font>
      <sz val="9"/>
      <color theme="9"/>
      <name val="Calibri"/>
      <family val="2"/>
    </font>
    <font>
      <sz val="10"/>
      <color theme="1"/>
      <name val="Calibri"/>
      <family val="2"/>
    </font>
    <font>
      <sz val="9"/>
      <color rgb="FFFF0000"/>
      <name val="Calibri"/>
    </font>
    <font>
      <b/>
      <sz val="9"/>
      <color rgb="FF000000"/>
      <name val="Calibri"/>
    </font>
    <font>
      <sz val="9"/>
      <color rgb="FF000000"/>
      <name val="Calibri"/>
      <charset val="1"/>
    </font>
    <font>
      <sz val="9"/>
      <color rgb="FFFF0000"/>
      <name val="Calibri"/>
      <charset val="1"/>
    </font>
    <font>
      <sz val="9"/>
      <color theme="1"/>
      <name val="Calibri"/>
    </font>
    <font>
      <b/>
      <sz val="9"/>
      <color rgb="FFFF0000"/>
      <name val="Calibri"/>
    </font>
    <font>
      <sz val="11"/>
      <color theme="1"/>
      <name val="Calibri"/>
    </font>
    <font>
      <sz val="9"/>
      <color rgb="FF00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600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6F0F6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C4D3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dotted">
        <color rgb="FF000000"/>
      </left>
      <right style="dashed">
        <color theme="0" tint="-0.249977111117893"/>
      </right>
      <top/>
      <bottom style="dotted">
        <color rgb="FF000000"/>
      </bottom>
      <diagonal/>
    </border>
    <border>
      <left style="dashed">
        <color theme="0" tint="-0.249977111117893"/>
      </left>
      <right style="dotted">
        <color rgb="FF000000"/>
      </right>
      <top/>
      <bottom style="dotted">
        <color rgb="FF000000"/>
      </bottom>
      <diagonal/>
    </border>
    <border>
      <left style="dashed">
        <color theme="0" tint="-0.249977111117893"/>
      </left>
      <right style="dashed">
        <color theme="0" tint="-0.249977111117893"/>
      </right>
      <top/>
      <bottom/>
      <diagonal/>
    </border>
    <border>
      <left style="dashed">
        <color theme="0" tint="-0.249977111117893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ashed">
        <color theme="0" tint="-0.249977111117893"/>
      </right>
      <top style="dotted">
        <color rgb="FF000000"/>
      </top>
      <bottom/>
      <diagonal/>
    </border>
    <border>
      <left style="dashed">
        <color rgb="FF000000"/>
      </left>
      <right style="dashed">
        <color theme="0" tint="-0.249977111117893"/>
      </right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ashed">
        <color theme="0" tint="-0.249977111117893"/>
      </top>
      <bottom/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/>
      <right/>
      <top/>
      <bottom style="dotted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ashed">
        <color theme="0" tint="-0.249977111117893"/>
      </left>
      <right/>
      <top/>
      <bottom/>
      <diagonal/>
    </border>
    <border>
      <left/>
      <right style="dotted">
        <color rgb="FF000000"/>
      </right>
      <top/>
      <bottom style="dashed">
        <color theme="0" tint="-0.249977111117893"/>
      </bottom>
      <diagonal/>
    </border>
    <border>
      <left style="dashed">
        <color theme="0" tint="-0.249977111117893"/>
      </left>
      <right/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34998626667073579"/>
      </right>
      <top style="thin">
        <color theme="1" tint="0.34998626667073579"/>
      </top>
      <bottom style="thin">
        <color theme="1" tint="0.499984740745262"/>
      </bottom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theme="1" tint="0.34998626667073579"/>
      </right>
      <top style="thin">
        <color theme="1" tint="0.499984740745262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1">
    <xf numFmtId="0" fontId="0" fillId="0" borderId="0" xfId="0"/>
    <xf numFmtId="4" fontId="2" fillId="0" borderId="11" xfId="0" applyNumberFormat="1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43" fontId="2" fillId="0" borderId="11" xfId="1" applyFont="1" applyBorder="1" applyAlignment="1">
      <alignment vertical="center" wrapText="1"/>
    </xf>
    <xf numFmtId="43" fontId="6" fillId="0" borderId="0" xfId="1" applyFont="1" applyAlignment="1">
      <alignment vertical="center" wrapText="1"/>
    </xf>
    <xf numFmtId="43" fontId="8" fillId="0" borderId="0" xfId="1" applyFont="1"/>
    <xf numFmtId="49" fontId="6" fillId="0" borderId="1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43" fontId="2" fillId="0" borderId="11" xfId="1" applyFont="1" applyBorder="1" applyAlignment="1">
      <alignment horizontal="center" vertical="center" wrapText="1"/>
    </xf>
    <xf numFmtId="43" fontId="9" fillId="0" borderId="11" xfId="1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 wrapText="1"/>
    </xf>
    <xf numFmtId="49" fontId="4" fillId="8" borderId="11" xfId="0" applyNumberFormat="1" applyFont="1" applyFill="1" applyBorder="1" applyAlignment="1">
      <alignment horizontal="center" vertical="center" wrapText="1"/>
    </xf>
    <xf numFmtId="0" fontId="7" fillId="8" borderId="20" xfId="0" applyFont="1" applyFill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49" fontId="4" fillId="11" borderId="11" xfId="0" applyNumberFormat="1" applyFont="1" applyFill="1" applyBorder="1" applyAlignment="1">
      <alignment horizontal="center" vertical="center" wrapText="1"/>
    </xf>
    <xf numFmtId="0" fontId="7" fillId="11" borderId="20" xfId="0" applyFont="1" applyFill="1" applyBorder="1" applyAlignment="1">
      <alignment vertical="center" wrapText="1"/>
    </xf>
    <xf numFmtId="43" fontId="4" fillId="11" borderId="11" xfId="1" applyFont="1" applyFill="1" applyBorder="1" applyAlignment="1">
      <alignment horizontal="center" vertical="center" wrapText="1"/>
    </xf>
    <xf numFmtId="43" fontId="5" fillId="8" borderId="11" xfId="1" applyFont="1" applyFill="1" applyBorder="1" applyAlignment="1">
      <alignment vertical="center" wrapText="1"/>
    </xf>
    <xf numFmtId="43" fontId="5" fillId="11" borderId="11" xfId="1" applyFont="1" applyFill="1" applyBorder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3" fontId="9" fillId="0" borderId="9" xfId="1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164" fontId="15" fillId="10" borderId="18" xfId="2" applyNumberFormat="1" applyFont="1" applyFill="1" applyBorder="1" applyAlignment="1">
      <alignment horizontal="center" vertical="center"/>
    </xf>
    <xf numFmtId="164" fontId="15" fillId="0" borderId="18" xfId="2" applyNumberFormat="1" applyFont="1" applyBorder="1" applyAlignment="1">
      <alignment horizontal="center" vertical="center"/>
    </xf>
    <xf numFmtId="164" fontId="15" fillId="7" borderId="18" xfId="2" applyNumberFormat="1" applyFont="1" applyFill="1" applyBorder="1" applyAlignment="1">
      <alignment horizontal="center" vertical="center"/>
    </xf>
    <xf numFmtId="164" fontId="15" fillId="6" borderId="18" xfId="2" applyNumberFormat="1" applyFont="1" applyFill="1" applyBorder="1" applyAlignment="1">
      <alignment horizontal="center" vertical="center"/>
    </xf>
    <xf numFmtId="164" fontId="14" fillId="0" borderId="18" xfId="2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35" xfId="0" applyFont="1" applyBorder="1" applyAlignment="1">
      <alignment vertical="center" wrapText="1"/>
    </xf>
    <xf numFmtId="0" fontId="17" fillId="0" borderId="36" xfId="0" applyFont="1" applyBorder="1" applyAlignment="1">
      <alignment vertical="center" wrapText="1"/>
    </xf>
    <xf numFmtId="0" fontId="17" fillId="0" borderId="39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17" fillId="0" borderId="44" xfId="0" applyFont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43" fontId="14" fillId="0" borderId="0" xfId="1" applyFont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43" fontId="14" fillId="0" borderId="18" xfId="1" applyFont="1" applyBorder="1" applyAlignment="1">
      <alignment horizontal="center" vertical="center"/>
    </xf>
    <xf numFmtId="0" fontId="15" fillId="8" borderId="18" xfId="0" applyFont="1" applyFill="1" applyBorder="1" applyAlignment="1">
      <alignment horizontal="center" vertical="center"/>
    </xf>
    <xf numFmtId="43" fontId="15" fillId="8" borderId="18" xfId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7" borderId="18" xfId="0" applyFont="1" applyFill="1" applyBorder="1" applyAlignment="1">
      <alignment horizontal="center" vertical="center"/>
    </xf>
    <xf numFmtId="43" fontId="15" fillId="7" borderId="18" xfId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 wrapText="1"/>
    </xf>
    <xf numFmtId="43" fontId="15" fillId="6" borderId="18" xfId="1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43" fontId="14" fillId="0" borderId="0" xfId="0" applyNumberFormat="1" applyFont="1" applyAlignment="1">
      <alignment horizontal="center" vertical="center"/>
    </xf>
    <xf numFmtId="43" fontId="19" fillId="0" borderId="0" xfId="0" applyNumberFormat="1" applyFont="1" applyAlignment="1">
      <alignment horizontal="center" vertical="center"/>
    </xf>
    <xf numFmtId="43" fontId="8" fillId="0" borderId="0" xfId="0" applyNumberFormat="1" applyFont="1"/>
    <xf numFmtId="8" fontId="8" fillId="0" borderId="0" xfId="0" applyNumberFormat="1" applyFont="1"/>
    <xf numFmtId="0" fontId="23" fillId="17" borderId="0" xfId="0" applyFont="1" applyFill="1"/>
    <xf numFmtId="0" fontId="24" fillId="17" borderId="0" xfId="0" applyFont="1" applyFill="1"/>
    <xf numFmtId="0" fontId="24" fillId="17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/>
    </xf>
    <xf numFmtId="0" fontId="25" fillId="17" borderId="0" xfId="0" applyFont="1" applyFill="1"/>
    <xf numFmtId="43" fontId="25" fillId="17" borderId="0" xfId="0" applyNumberFormat="1" applyFont="1" applyFill="1"/>
    <xf numFmtId="164" fontId="25" fillId="17" borderId="0" xfId="0" applyNumberFormat="1" applyFont="1" applyFill="1"/>
    <xf numFmtId="0" fontId="24" fillId="17" borderId="0" xfId="0" applyFont="1" applyFill="1" applyAlignment="1">
      <alignment vertical="center"/>
    </xf>
    <xf numFmtId="0" fontId="24" fillId="0" borderId="0" xfId="0" applyFont="1"/>
    <xf numFmtId="49" fontId="0" fillId="0" borderId="0" xfId="0" applyNumberFormat="1"/>
    <xf numFmtId="0" fontId="7" fillId="0" borderId="20" xfId="0" applyFont="1" applyBorder="1" applyAlignment="1">
      <alignment wrapText="1"/>
    </xf>
    <xf numFmtId="4" fontId="8" fillId="0" borderId="0" xfId="0" applyNumberFormat="1" applyFont="1"/>
    <xf numFmtId="43" fontId="2" fillId="0" borderId="3" xfId="1" applyFont="1" applyBorder="1" applyAlignment="1">
      <alignment vertical="center" wrapText="1"/>
    </xf>
    <xf numFmtId="43" fontId="2" fillId="0" borderId="3" xfId="1" applyFont="1" applyBorder="1" applyAlignment="1">
      <alignment horizontal="center" vertical="center" wrapText="1"/>
    </xf>
    <xf numFmtId="8" fontId="4" fillId="4" borderId="24" xfId="0" applyNumberFormat="1" applyFont="1" applyFill="1" applyBorder="1" applyAlignment="1">
      <alignment horizontal="right" vertical="center" wrapText="1"/>
    </xf>
    <xf numFmtId="0" fontId="15" fillId="21" borderId="18" xfId="0" applyFont="1" applyFill="1" applyBorder="1" applyAlignment="1">
      <alignment horizontal="center" vertical="center" wrapText="1"/>
    </xf>
    <xf numFmtId="164" fontId="15" fillId="0" borderId="0" xfId="2" applyNumberFormat="1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22" borderId="0" xfId="0" applyFont="1" applyFill="1" applyAlignment="1">
      <alignment wrapText="1"/>
    </xf>
    <xf numFmtId="0" fontId="33" fillId="23" borderId="11" xfId="0" applyFont="1" applyFill="1" applyBorder="1"/>
    <xf numFmtId="0" fontId="33" fillId="24" borderId="11" xfId="0" applyFont="1" applyFill="1" applyBorder="1"/>
    <xf numFmtId="4" fontId="33" fillId="2" borderId="11" xfId="0" applyNumberFormat="1" applyFont="1" applyFill="1" applyBorder="1"/>
    <xf numFmtId="0" fontId="32" fillId="22" borderId="11" xfId="0" applyFont="1" applyFill="1" applyBorder="1"/>
    <xf numFmtId="4" fontId="32" fillId="22" borderId="11" xfId="0" applyNumberFormat="1" applyFont="1" applyFill="1" applyBorder="1"/>
    <xf numFmtId="0" fontId="32" fillId="22" borderId="14" xfId="0" applyFont="1" applyFill="1" applyBorder="1"/>
    <xf numFmtId="4" fontId="32" fillId="22" borderId="14" xfId="0" applyNumberFormat="1" applyFont="1" applyFill="1" applyBorder="1"/>
    <xf numFmtId="0" fontId="2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2" fillId="22" borderId="11" xfId="0" applyFont="1" applyFill="1" applyBorder="1" applyAlignment="1">
      <alignment vertical="center"/>
    </xf>
    <xf numFmtId="0" fontId="32" fillId="22" borderId="1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4" fontId="30" fillId="0" borderId="0" xfId="0" applyNumberFormat="1" applyFont="1"/>
    <xf numFmtId="4" fontId="33" fillId="0" borderId="11" xfId="0" applyNumberFormat="1" applyFont="1" applyBorder="1"/>
    <xf numFmtId="0" fontId="33" fillId="0" borderId="11" xfId="0" applyFont="1" applyBorder="1"/>
    <xf numFmtId="4" fontId="33" fillId="0" borderId="11" xfId="0" applyNumberFormat="1" applyFont="1" applyBorder="1" applyAlignment="1">
      <alignment vertical="center"/>
    </xf>
    <xf numFmtId="0" fontId="30" fillId="0" borderId="11" xfId="0" applyFont="1" applyBorder="1"/>
    <xf numFmtId="4" fontId="33" fillId="0" borderId="3" xfId="0" applyNumberFormat="1" applyFont="1" applyBorder="1"/>
    <xf numFmtId="0" fontId="33" fillId="0" borderId="3" xfId="0" applyFont="1" applyBorder="1"/>
    <xf numFmtId="4" fontId="32" fillId="22" borderId="3" xfId="0" applyNumberFormat="1" applyFont="1" applyFill="1" applyBorder="1"/>
    <xf numFmtId="4" fontId="33" fillId="0" borderId="3" xfId="0" applyNumberFormat="1" applyFont="1" applyBorder="1" applyAlignment="1">
      <alignment vertical="center"/>
    </xf>
    <xf numFmtId="4" fontId="33" fillId="2" borderId="3" xfId="0" applyNumberFormat="1" applyFont="1" applyFill="1" applyBorder="1"/>
    <xf numFmtId="0" fontId="34" fillId="0" borderId="0" xfId="0" applyFont="1"/>
    <xf numFmtId="4" fontId="21" fillId="0" borderId="11" xfId="0" applyNumberFormat="1" applyFont="1" applyBorder="1" applyAlignment="1">
      <alignment vertical="center" wrapText="1"/>
    </xf>
    <xf numFmtId="4" fontId="29" fillId="0" borderId="11" xfId="0" applyNumberFormat="1" applyFont="1" applyBorder="1"/>
    <xf numFmtId="4" fontId="29" fillId="0" borderId="3" xfId="0" applyNumberFormat="1" applyFont="1" applyBorder="1"/>
    <xf numFmtId="0" fontId="35" fillId="0" borderId="11" xfId="0" applyFont="1" applyBorder="1"/>
    <xf numFmtId="0" fontId="30" fillId="0" borderId="11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3" fillId="18" borderId="11" xfId="0" applyFont="1" applyFill="1" applyBorder="1" applyAlignment="1">
      <alignment vertical="center"/>
    </xf>
    <xf numFmtId="0" fontId="33" fillId="18" borderId="11" xfId="0" applyFont="1" applyFill="1" applyBorder="1"/>
    <xf numFmtId="0" fontId="29" fillId="18" borderId="11" xfId="0" applyFont="1" applyFill="1" applyBorder="1"/>
    <xf numFmtId="4" fontId="33" fillId="18" borderId="11" xfId="0" applyNumberFormat="1" applyFont="1" applyFill="1" applyBorder="1"/>
    <xf numFmtId="0" fontId="22" fillId="14" borderId="9" xfId="0" applyFont="1" applyFill="1" applyBorder="1" applyAlignment="1">
      <alignment horizontal="center" vertical="center" wrapText="1"/>
    </xf>
    <xf numFmtId="0" fontId="17" fillId="18" borderId="3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8" fontId="22" fillId="13" borderId="6" xfId="0" applyNumberFormat="1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1" fontId="17" fillId="18" borderId="1" xfId="0" applyNumberFormat="1" applyFont="1" applyFill="1" applyBorder="1" applyAlignment="1">
      <alignment horizontal="center" vertical="center"/>
    </xf>
    <xf numFmtId="8" fontId="17" fillId="0" borderId="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0" fontId="17" fillId="18" borderId="1" xfId="0" applyFont="1" applyFill="1" applyBorder="1" applyAlignment="1">
      <alignment horizontal="center" vertical="center" wrapText="1"/>
    </xf>
    <xf numFmtId="14" fontId="17" fillId="18" borderId="1" xfId="0" applyNumberFormat="1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8" fontId="17" fillId="17" borderId="1" xfId="0" applyNumberFormat="1" applyFont="1" applyFill="1" applyBorder="1" applyAlignment="1">
      <alignment horizontal="right" vertical="center" wrapText="1"/>
    </xf>
    <xf numFmtId="0" fontId="17" fillId="17" borderId="1" xfId="0" applyFont="1" applyFill="1" applyBorder="1" applyAlignment="1">
      <alignment horizontal="right" vertical="center" wrapText="1"/>
    </xf>
    <xf numFmtId="0" fontId="17" fillId="18" borderId="1" xfId="0" applyFont="1" applyFill="1" applyBorder="1" applyAlignment="1">
      <alignment horizontal="right" vertical="center"/>
    </xf>
    <xf numFmtId="0" fontId="27" fillId="18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left" vertical="center" wrapText="1"/>
    </xf>
    <xf numFmtId="0" fontId="17" fillId="17" borderId="1" xfId="0" applyFont="1" applyFill="1" applyBorder="1" applyAlignment="1">
      <alignment horizontal="right" vertical="center"/>
    </xf>
    <xf numFmtId="0" fontId="27" fillId="17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left" vertical="center" wrapText="1"/>
    </xf>
    <xf numFmtId="165" fontId="8" fillId="0" borderId="0" xfId="1" applyNumberFormat="1" applyFont="1" applyAlignment="1">
      <alignment horizontal="left"/>
    </xf>
    <xf numFmtId="0" fontId="14" fillId="0" borderId="0" xfId="0" quotePrefix="1" applyFont="1" applyAlignment="1">
      <alignment horizontal="center" vertical="center"/>
    </xf>
    <xf numFmtId="0" fontId="15" fillId="7" borderId="56" xfId="0" applyFont="1" applyFill="1" applyBorder="1" applyAlignment="1">
      <alignment horizontal="center" vertical="center"/>
    </xf>
    <xf numFmtId="0" fontId="4" fillId="4" borderId="56" xfId="0" applyFont="1" applyFill="1" applyBorder="1" applyAlignment="1">
      <alignment horizontal="center" vertical="center" wrapText="1"/>
    </xf>
    <xf numFmtId="49" fontId="4" fillId="4" borderId="56" xfId="0" applyNumberFormat="1" applyFont="1" applyFill="1" applyBorder="1" applyAlignment="1">
      <alignment horizontal="center" vertical="center" wrapText="1"/>
    </xf>
    <xf numFmtId="0" fontId="5" fillId="4" borderId="56" xfId="0" applyFont="1" applyFill="1" applyBorder="1" applyAlignment="1">
      <alignment horizontal="center" vertical="center" wrapText="1"/>
    </xf>
    <xf numFmtId="43" fontId="5" fillId="4" borderId="56" xfId="1" applyFont="1" applyFill="1" applyBorder="1" applyAlignment="1">
      <alignment horizontal="center" vertical="center" wrapText="1"/>
    </xf>
    <xf numFmtId="0" fontId="36" fillId="4" borderId="56" xfId="0" applyFont="1" applyFill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43" fontId="8" fillId="0" borderId="56" xfId="1" applyFont="1" applyBorder="1" applyAlignment="1">
      <alignment vertical="center" wrapText="1"/>
    </xf>
    <xf numFmtId="39" fontId="4" fillId="4" borderId="56" xfId="0" applyNumberFormat="1" applyFont="1" applyFill="1" applyBorder="1" applyAlignment="1">
      <alignment vertical="center" wrapText="1"/>
    </xf>
    <xf numFmtId="39" fontId="36" fillId="4" borderId="56" xfId="0" applyNumberFormat="1" applyFont="1" applyFill="1" applyBorder="1" applyAlignment="1">
      <alignment vertical="center" wrapText="1"/>
    </xf>
    <xf numFmtId="0" fontId="4" fillId="4" borderId="56" xfId="0" applyFont="1" applyFill="1" applyBorder="1" applyAlignment="1">
      <alignment horizontal="center" vertical="center"/>
    </xf>
    <xf numFmtId="49" fontId="6" fillId="0" borderId="56" xfId="0" applyNumberFormat="1" applyFont="1" applyBorder="1" applyAlignment="1">
      <alignment horizontal="center" vertical="center" wrapText="1"/>
    </xf>
    <xf numFmtId="0" fontId="6" fillId="0" borderId="56" xfId="0" applyFont="1" applyBorder="1" applyAlignment="1">
      <alignment vertical="center" wrapText="1"/>
    </xf>
    <xf numFmtId="0" fontId="7" fillId="0" borderId="56" xfId="0" applyFont="1" applyBorder="1" applyAlignment="1">
      <alignment horizontal="center" vertical="center" wrapText="1"/>
    </xf>
    <xf numFmtId="43" fontId="6" fillId="17" borderId="56" xfId="1" applyFont="1" applyFill="1" applyBorder="1" applyAlignment="1">
      <alignment vertical="center" wrapText="1"/>
    </xf>
    <xf numFmtId="43" fontId="6" fillId="0" borderId="56" xfId="1" applyFont="1" applyBorder="1" applyAlignment="1">
      <alignment vertical="center" wrapText="1"/>
    </xf>
    <xf numFmtId="0" fontId="15" fillId="9" borderId="56" xfId="0" applyFont="1" applyFill="1" applyBorder="1" applyAlignment="1">
      <alignment horizontal="center" vertical="center" wrapText="1"/>
    </xf>
    <xf numFmtId="43" fontId="15" fillId="9" borderId="56" xfId="1" applyFont="1" applyFill="1" applyBorder="1" applyAlignment="1">
      <alignment horizontal="center" vertical="center" wrapText="1"/>
    </xf>
    <xf numFmtId="0" fontId="15" fillId="21" borderId="56" xfId="0" applyFont="1" applyFill="1" applyBorder="1" applyAlignment="1">
      <alignment horizontal="center" vertical="center" wrapText="1"/>
    </xf>
    <xf numFmtId="0" fontId="15" fillId="8" borderId="56" xfId="0" applyFont="1" applyFill="1" applyBorder="1" applyAlignment="1">
      <alignment horizontal="center" vertical="center"/>
    </xf>
    <xf numFmtId="43" fontId="15" fillId="8" borderId="56" xfId="1" applyFont="1" applyFill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43" fontId="14" fillId="0" borderId="60" xfId="1" applyFont="1" applyBorder="1" applyAlignment="1">
      <alignment horizontal="center" vertical="center"/>
    </xf>
    <xf numFmtId="43" fontId="15" fillId="7" borderId="56" xfId="1" applyFont="1" applyFill="1" applyBorder="1" applyAlignment="1">
      <alignment horizontal="center" vertical="center"/>
    </xf>
    <xf numFmtId="164" fontId="15" fillId="7" borderId="56" xfId="2" applyNumberFormat="1" applyFont="1" applyFill="1" applyBorder="1" applyAlignment="1">
      <alignment horizontal="center" vertical="center"/>
    </xf>
    <xf numFmtId="0" fontId="16" fillId="6" borderId="56" xfId="0" applyFont="1" applyFill="1" applyBorder="1" applyAlignment="1">
      <alignment horizontal="left" vertical="center" wrapText="1"/>
    </xf>
    <xf numFmtId="0" fontId="16" fillId="6" borderId="56" xfId="0" applyFont="1" applyFill="1" applyBorder="1" applyAlignment="1">
      <alignment horizontal="center" vertical="center" wrapText="1"/>
    </xf>
    <xf numFmtId="43" fontId="15" fillId="6" borderId="56" xfId="1" applyFont="1" applyFill="1" applyBorder="1" applyAlignment="1">
      <alignment horizontal="center" vertical="center"/>
    </xf>
    <xf numFmtId="164" fontId="15" fillId="6" borderId="56" xfId="1" applyNumberFormat="1" applyFont="1" applyFill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43" fontId="14" fillId="0" borderId="56" xfId="1" applyFont="1" applyBorder="1" applyAlignment="1">
      <alignment horizontal="center" vertical="center" wrapText="1"/>
    </xf>
    <xf numFmtId="43" fontId="14" fillId="0" borderId="56" xfId="1" applyFont="1" applyBorder="1" applyAlignment="1">
      <alignment horizontal="center" vertical="center"/>
    </xf>
    <xf numFmtId="164" fontId="14" fillId="0" borderId="56" xfId="1" applyNumberFormat="1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/>
    </xf>
    <xf numFmtId="0" fontId="15" fillId="0" borderId="60" xfId="0" applyFont="1" applyBorder="1" applyAlignment="1">
      <alignment horizontal="center" vertical="center"/>
    </xf>
    <xf numFmtId="164" fontId="15" fillId="0" borderId="60" xfId="2" applyNumberFormat="1" applyFont="1" applyBorder="1" applyAlignment="1">
      <alignment horizontal="center" vertical="center"/>
    </xf>
    <xf numFmtId="0" fontId="38" fillId="6" borderId="56" xfId="0" applyFont="1" applyFill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36" fillId="7" borderId="56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0" xfId="0" quotePrefix="1" applyFont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7" fillId="0" borderId="36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9" fontId="15" fillId="10" borderId="11" xfId="2" applyFont="1" applyFill="1" applyBorder="1" applyAlignment="1">
      <alignment horizontal="center" vertical="center"/>
    </xf>
    <xf numFmtId="164" fontId="15" fillId="10" borderId="11" xfId="2" applyNumberFormat="1" applyFont="1" applyFill="1" applyBorder="1" applyAlignment="1">
      <alignment horizontal="center" vertical="center"/>
    </xf>
    <xf numFmtId="43" fontId="15" fillId="8" borderId="62" xfId="1" applyFont="1" applyFill="1" applyBorder="1" applyAlignment="1">
      <alignment horizontal="center" vertical="center"/>
    </xf>
    <xf numFmtId="43" fontId="15" fillId="6" borderId="62" xfId="1" applyFont="1" applyFill="1" applyBorder="1" applyAlignment="1">
      <alignment horizontal="center" vertical="center"/>
    </xf>
    <xf numFmtId="43" fontId="14" fillId="0" borderId="62" xfId="1" applyFont="1" applyBorder="1" applyAlignment="1">
      <alignment horizontal="center" vertical="center"/>
    </xf>
    <xf numFmtId="43" fontId="14" fillId="0" borderId="62" xfId="1" applyFont="1" applyBorder="1" applyAlignment="1">
      <alignment horizontal="center" vertical="center" wrapText="1"/>
    </xf>
    <xf numFmtId="164" fontId="15" fillId="7" borderId="63" xfId="2" applyNumberFormat="1" applyFont="1" applyFill="1" applyBorder="1" applyAlignment="1">
      <alignment horizontal="center" vertical="center"/>
    </xf>
    <xf numFmtId="164" fontId="15" fillId="7" borderId="64" xfId="2" applyNumberFormat="1" applyFont="1" applyFill="1" applyBorder="1" applyAlignment="1">
      <alignment horizontal="center" vertical="center"/>
    </xf>
    <xf numFmtId="164" fontId="15" fillId="7" borderId="65" xfId="2" applyNumberFormat="1" applyFont="1" applyFill="1" applyBorder="1" applyAlignment="1">
      <alignment horizontal="center" vertical="center"/>
    </xf>
    <xf numFmtId="164" fontId="15" fillId="6" borderId="66" xfId="1" applyNumberFormat="1" applyFont="1" applyFill="1" applyBorder="1" applyAlignment="1">
      <alignment horizontal="center" vertical="center"/>
    </xf>
    <xf numFmtId="164" fontId="15" fillId="6" borderId="67" xfId="1" applyNumberFormat="1" applyFont="1" applyFill="1" applyBorder="1" applyAlignment="1">
      <alignment horizontal="center" vertical="center"/>
    </xf>
    <xf numFmtId="164" fontId="14" fillId="0" borderId="66" xfId="1" applyNumberFormat="1" applyFont="1" applyBorder="1" applyAlignment="1">
      <alignment horizontal="center" vertical="center"/>
    </xf>
    <xf numFmtId="164" fontId="14" fillId="0" borderId="67" xfId="1" applyNumberFormat="1" applyFont="1" applyBorder="1" applyAlignment="1">
      <alignment horizontal="center" vertical="center"/>
    </xf>
    <xf numFmtId="164" fontId="14" fillId="0" borderId="68" xfId="1" applyNumberFormat="1" applyFont="1" applyBorder="1" applyAlignment="1">
      <alignment horizontal="center" vertical="center"/>
    </xf>
    <xf numFmtId="164" fontId="14" fillId="0" borderId="69" xfId="1" applyNumberFormat="1" applyFont="1" applyBorder="1" applyAlignment="1">
      <alignment horizontal="center" vertical="center"/>
    </xf>
    <xf numFmtId="164" fontId="15" fillId="6" borderId="59" xfId="1" applyNumberFormat="1" applyFont="1" applyFill="1" applyBorder="1" applyAlignment="1">
      <alignment horizontal="center" vertical="center"/>
    </xf>
    <xf numFmtId="0" fontId="15" fillId="10" borderId="70" xfId="0" applyFont="1" applyFill="1" applyBorder="1" applyAlignment="1">
      <alignment horizontal="center" vertical="center" wrapText="1"/>
    </xf>
    <xf numFmtId="0" fontId="15" fillId="9" borderId="62" xfId="0" applyFont="1" applyFill="1" applyBorder="1" applyAlignment="1">
      <alignment horizontal="center" vertical="center" wrapText="1"/>
    </xf>
    <xf numFmtId="43" fontId="14" fillId="0" borderId="71" xfId="1" applyFont="1" applyBorder="1" applyAlignment="1">
      <alignment horizontal="center" vertical="center"/>
    </xf>
    <xf numFmtId="165" fontId="6" fillId="17" borderId="56" xfId="1" applyNumberFormat="1" applyFont="1" applyFill="1" applyBorder="1" applyAlignment="1">
      <alignment vertical="center" wrapText="1"/>
    </xf>
    <xf numFmtId="0" fontId="17" fillId="0" borderId="44" xfId="0" applyFont="1" applyBorder="1" applyAlignment="1">
      <alignment horizontal="left" vertical="center" wrapText="1"/>
    </xf>
    <xf numFmtId="43" fontId="16" fillId="16" borderId="46" xfId="0" applyNumberFormat="1" applyFont="1" applyFill="1" applyBorder="1" applyAlignment="1">
      <alignment vertical="center"/>
    </xf>
    <xf numFmtId="43" fontId="16" fillId="16" borderId="34" xfId="0" applyNumberFormat="1" applyFont="1" applyFill="1" applyBorder="1" applyAlignment="1">
      <alignment vertical="center"/>
    </xf>
    <xf numFmtId="43" fontId="16" fillId="16" borderId="37" xfId="0" applyNumberFormat="1" applyFont="1" applyFill="1" applyBorder="1" applyAlignment="1">
      <alignment vertical="center"/>
    </xf>
    <xf numFmtId="9" fontId="16" fillId="16" borderId="37" xfId="0" applyNumberFormat="1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vertical="center"/>
    </xf>
    <xf numFmtId="4" fontId="14" fillId="0" borderId="47" xfId="0" applyNumberFormat="1" applyFont="1" applyBorder="1" applyAlignment="1">
      <alignment vertical="center"/>
    </xf>
    <xf numFmtId="4" fontId="14" fillId="0" borderId="40" xfId="0" applyNumberFormat="1" applyFont="1" applyBorder="1" applyAlignment="1">
      <alignment vertical="center"/>
    </xf>
    <xf numFmtId="4" fontId="14" fillId="0" borderId="38" xfId="0" applyNumberFormat="1" applyFont="1" applyBorder="1" applyAlignment="1">
      <alignment vertical="center"/>
    </xf>
    <xf numFmtId="9" fontId="14" fillId="0" borderId="38" xfId="0" applyNumberFormat="1" applyFont="1" applyBorder="1" applyAlignment="1">
      <alignment horizontal="center" vertical="center"/>
    </xf>
    <xf numFmtId="9" fontId="14" fillId="0" borderId="40" xfId="0" applyNumberFormat="1" applyFont="1" applyBorder="1" applyAlignment="1">
      <alignment horizontal="center" vertical="center"/>
    </xf>
    <xf numFmtId="43" fontId="16" fillId="16" borderId="42" xfId="0" applyNumberFormat="1" applyFont="1" applyFill="1" applyBorder="1" applyAlignment="1">
      <alignment vertical="center"/>
    </xf>
    <xf numFmtId="43" fontId="6" fillId="0" borderId="11" xfId="1" applyFont="1" applyBorder="1" applyAlignment="1">
      <alignment vertical="center" wrapText="1"/>
    </xf>
    <xf numFmtId="43" fontId="4" fillId="0" borderId="11" xfId="1" applyFont="1" applyBorder="1" applyAlignment="1">
      <alignment vertical="center" wrapText="1"/>
    </xf>
    <xf numFmtId="43" fontId="4" fillId="0" borderId="3" xfId="1" applyFont="1" applyBorder="1" applyAlignment="1">
      <alignment vertical="center" wrapText="1"/>
    </xf>
    <xf numFmtId="0" fontId="27" fillId="0" borderId="0" xfId="0" applyFont="1" applyAlignment="1">
      <alignment horizontal="center" vertical="center"/>
    </xf>
    <xf numFmtId="164" fontId="15" fillId="0" borderId="0" xfId="2" applyNumberFormat="1" applyFont="1" applyAlignment="1">
      <alignment horizontal="center" vertical="center"/>
    </xf>
    <xf numFmtId="43" fontId="17" fillId="0" borderId="56" xfId="1" applyFont="1" applyBorder="1" applyAlignment="1">
      <alignment horizontal="center" vertical="center"/>
    </xf>
    <xf numFmtId="43" fontId="17" fillId="0" borderId="62" xfId="1" applyFont="1" applyBorder="1" applyAlignment="1">
      <alignment horizontal="center" vertical="center"/>
    </xf>
    <xf numFmtId="43" fontId="26" fillId="0" borderId="56" xfId="1" applyFont="1" applyBorder="1" applyAlignment="1">
      <alignment horizontal="center" vertical="center"/>
    </xf>
    <xf numFmtId="43" fontId="26" fillId="0" borderId="62" xfId="1" applyFont="1" applyBorder="1" applyAlignment="1">
      <alignment horizontal="center" vertical="center"/>
    </xf>
    <xf numFmtId="0" fontId="7" fillId="0" borderId="56" xfId="0" applyFont="1" applyBorder="1" applyAlignment="1">
      <alignment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3" fontId="6" fillId="0" borderId="0" xfId="0" applyNumberFormat="1" applyFont="1" applyAlignment="1">
      <alignment vertical="center"/>
    </xf>
    <xf numFmtId="49" fontId="17" fillId="0" borderId="56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4" fillId="0" borderId="1" xfId="0" applyFont="1" applyBorder="1"/>
    <xf numFmtId="0" fontId="17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4" fillId="17" borderId="1" xfId="0" applyFont="1" applyFill="1" applyBorder="1"/>
    <xf numFmtId="0" fontId="17" fillId="17" borderId="1" xfId="0" applyFont="1" applyFill="1" applyBorder="1" applyAlignment="1">
      <alignment wrapText="1"/>
    </xf>
    <xf numFmtId="0" fontId="14" fillId="1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wrapText="1"/>
    </xf>
    <xf numFmtId="0" fontId="14" fillId="20" borderId="1" xfId="0" applyFont="1" applyFill="1" applyBorder="1" applyAlignment="1">
      <alignment horizontal="center" vertical="center" wrapText="1"/>
    </xf>
    <xf numFmtId="0" fontId="14" fillId="17" borderId="0" xfId="0" applyFont="1" applyFill="1"/>
    <xf numFmtId="0" fontId="14" fillId="17" borderId="0" xfId="0" applyFont="1" applyFill="1" applyAlignment="1">
      <alignment horizontal="center"/>
    </xf>
    <xf numFmtId="0" fontId="14" fillId="0" borderId="26" xfId="0" applyFont="1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15" fillId="11" borderId="35" xfId="0" applyFont="1" applyFill="1" applyBorder="1" applyAlignment="1">
      <alignment horizontal="center" vertical="center"/>
    </xf>
    <xf numFmtId="0" fontId="15" fillId="11" borderId="31" xfId="0" applyFont="1" applyFill="1" applyBorder="1" applyAlignment="1">
      <alignment horizontal="center" vertical="center" wrapText="1"/>
    </xf>
    <xf numFmtId="0" fontId="15" fillId="11" borderId="40" xfId="0" applyFont="1" applyFill="1" applyBorder="1" applyAlignment="1">
      <alignment horizontal="center" vertical="center" wrapText="1"/>
    </xf>
    <xf numFmtId="0" fontId="14" fillId="17" borderId="0" xfId="0" applyFont="1" applyFill="1" applyAlignment="1">
      <alignment horizontal="center" vertical="center"/>
    </xf>
    <xf numFmtId="0" fontId="14" fillId="0" borderId="33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49" xfId="0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43" fontId="16" fillId="8" borderId="31" xfId="0" applyNumberFormat="1" applyFont="1" applyFill="1" applyBorder="1" applyAlignment="1">
      <alignment vertical="center"/>
    </xf>
    <xf numFmtId="43" fontId="16" fillId="8" borderId="40" xfId="0" applyNumberFormat="1" applyFont="1" applyFill="1" applyBorder="1" applyAlignment="1">
      <alignment vertical="center"/>
    </xf>
    <xf numFmtId="9" fontId="16" fillId="8" borderId="40" xfId="0" applyNumberFormat="1" applyFont="1" applyFill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9" fontId="14" fillId="0" borderId="49" xfId="0" applyNumberFormat="1" applyFont="1" applyBorder="1" applyAlignment="1">
      <alignment horizontal="center" vertical="center"/>
    </xf>
    <xf numFmtId="43" fontId="16" fillId="15" borderId="34" xfId="0" applyNumberFormat="1" applyFont="1" applyFill="1" applyBorder="1" applyAlignment="1">
      <alignment vertical="center"/>
    </xf>
    <xf numFmtId="43" fontId="16" fillId="15" borderId="37" xfId="0" applyNumberFormat="1" applyFont="1" applyFill="1" applyBorder="1" applyAlignment="1">
      <alignment vertical="center"/>
    </xf>
    <xf numFmtId="9" fontId="16" fillId="15" borderId="37" xfId="0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vertical="center"/>
    </xf>
    <xf numFmtId="0" fontId="14" fillId="0" borderId="31" xfId="0" applyFont="1" applyBorder="1" applyAlignment="1">
      <alignment horizontal="center" vertical="center"/>
    </xf>
    <xf numFmtId="0" fontId="14" fillId="0" borderId="42" xfId="0" applyFont="1" applyBorder="1" applyAlignment="1">
      <alignment vertical="center"/>
    </xf>
    <xf numFmtId="4" fontId="14" fillId="0" borderId="31" xfId="0" applyNumberFormat="1" applyFont="1" applyBorder="1" applyAlignment="1">
      <alignment vertical="center"/>
    </xf>
    <xf numFmtId="43" fontId="16" fillId="16" borderId="45" xfId="0" applyNumberFormat="1" applyFont="1" applyFill="1" applyBorder="1" applyAlignment="1">
      <alignment vertical="center"/>
    </xf>
    <xf numFmtId="43" fontId="16" fillId="16" borderId="49" xfId="0" applyNumberFormat="1" applyFont="1" applyFill="1" applyBorder="1" applyAlignment="1">
      <alignment vertical="center"/>
    </xf>
    <xf numFmtId="9" fontId="16" fillId="16" borderId="49" xfId="0" applyNumberFormat="1" applyFont="1" applyFill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14" fillId="0" borderId="41" xfId="0" applyFont="1" applyBorder="1" applyAlignment="1">
      <alignment horizontal="center" vertical="center"/>
    </xf>
    <xf numFmtId="0" fontId="14" fillId="0" borderId="47" xfId="0" applyFont="1" applyBorder="1" applyAlignment="1">
      <alignment vertical="center"/>
    </xf>
    <xf numFmtId="4" fontId="14" fillId="0" borderId="41" xfId="0" applyNumberFormat="1" applyFont="1" applyBorder="1" applyAlignment="1">
      <alignment vertical="center"/>
    </xf>
    <xf numFmtId="0" fontId="14" fillId="0" borderId="37" xfId="0" applyFont="1" applyBorder="1" applyAlignment="1">
      <alignment vertical="center"/>
    </xf>
    <xf numFmtId="4" fontId="14" fillId="0" borderId="37" xfId="0" applyNumberFormat="1" applyFont="1" applyBorder="1" applyAlignment="1">
      <alignment vertical="center"/>
    </xf>
    <xf numFmtId="9" fontId="14" fillId="0" borderId="37" xfId="0" applyNumberFormat="1" applyFont="1" applyBorder="1" applyAlignment="1">
      <alignment horizontal="center" vertical="center"/>
    </xf>
    <xf numFmtId="43" fontId="16" fillId="16" borderId="40" xfId="0" applyNumberFormat="1" applyFont="1" applyFill="1" applyBorder="1" applyAlignment="1">
      <alignment vertical="center"/>
    </xf>
    <xf numFmtId="9" fontId="16" fillId="16" borderId="4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4" fontId="14" fillId="0" borderId="45" xfId="0" applyNumberFormat="1" applyFont="1" applyBorder="1" applyAlignment="1">
      <alignment vertical="center"/>
    </xf>
    <xf numFmtId="4" fontId="14" fillId="0" borderId="49" xfId="0" applyNumberFormat="1" applyFont="1" applyBorder="1" applyAlignment="1">
      <alignment vertical="center"/>
    </xf>
    <xf numFmtId="43" fontId="16" fillId="16" borderId="31" xfId="0" applyNumberFormat="1" applyFont="1" applyFill="1" applyBorder="1" applyAlignment="1">
      <alignment vertical="center"/>
    </xf>
    <xf numFmtId="0" fontId="14" fillId="0" borderId="34" xfId="0" applyFont="1" applyBorder="1" applyAlignment="1">
      <alignment horizontal="center" vertical="center"/>
    </xf>
    <xf numFmtId="43" fontId="16" fillId="15" borderId="31" xfId="0" applyNumberFormat="1" applyFont="1" applyFill="1" applyBorder="1" applyAlignment="1">
      <alignment vertical="center"/>
    </xf>
    <xf numFmtId="43" fontId="16" fillId="15" borderId="40" xfId="0" applyNumberFormat="1" applyFont="1" applyFill="1" applyBorder="1" applyAlignment="1">
      <alignment vertical="center"/>
    </xf>
    <xf numFmtId="9" fontId="16" fillId="15" borderId="40" xfId="0" applyNumberFormat="1" applyFont="1" applyFill="1" applyBorder="1" applyAlignment="1">
      <alignment horizontal="center" vertical="center"/>
    </xf>
    <xf numFmtId="0" fontId="14" fillId="0" borderId="46" xfId="0" applyFont="1" applyBorder="1" applyAlignment="1">
      <alignment vertical="center"/>
    </xf>
    <xf numFmtId="4" fontId="14" fillId="0" borderId="34" xfId="0" applyNumberFormat="1" applyFont="1" applyBorder="1" applyAlignment="1">
      <alignment vertical="center"/>
    </xf>
    <xf numFmtId="43" fontId="16" fillId="15" borderId="45" xfId="0" applyNumberFormat="1" applyFont="1" applyFill="1" applyBorder="1" applyAlignment="1">
      <alignment vertical="center"/>
    </xf>
    <xf numFmtId="43" fontId="16" fillId="15" borderId="49" xfId="0" applyNumberFormat="1" applyFont="1" applyFill="1" applyBorder="1" applyAlignment="1">
      <alignment vertical="center"/>
    </xf>
    <xf numFmtId="43" fontId="16" fillId="15" borderId="51" xfId="0" applyNumberFormat="1" applyFont="1" applyFill="1" applyBorder="1" applyAlignment="1">
      <alignment vertical="center"/>
    </xf>
    <xf numFmtId="9" fontId="16" fillId="15" borderId="51" xfId="0" applyNumberFormat="1" applyFont="1" applyFill="1" applyBorder="1" applyAlignment="1">
      <alignment horizontal="center" vertical="center"/>
    </xf>
    <xf numFmtId="43" fontId="16" fillId="16" borderId="43" xfId="0" applyNumberFormat="1" applyFont="1" applyFill="1" applyBorder="1" applyAlignment="1">
      <alignment vertical="center"/>
    </xf>
    <xf numFmtId="9" fontId="16" fillId="16" borderId="43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0" borderId="30" xfId="0" applyFont="1" applyBorder="1" applyAlignment="1">
      <alignment vertical="center"/>
    </xf>
    <xf numFmtId="4" fontId="14" fillId="0" borderId="0" xfId="0" applyNumberFormat="1" applyFont="1" applyAlignment="1">
      <alignment vertical="center"/>
    </xf>
    <xf numFmtId="4" fontId="14" fillId="0" borderId="46" xfId="0" applyNumberFormat="1" applyFont="1" applyBorder="1" applyAlignment="1">
      <alignment vertical="center"/>
    </xf>
    <xf numFmtId="0" fontId="14" fillId="0" borderId="40" xfId="0" applyFont="1" applyBorder="1" applyAlignment="1">
      <alignment vertical="center"/>
    </xf>
    <xf numFmtId="4" fontId="14" fillId="0" borderId="42" xfId="0" applyNumberFormat="1" applyFont="1" applyBorder="1" applyAlignment="1">
      <alignment vertical="center"/>
    </xf>
    <xf numFmtId="0" fontId="14" fillId="0" borderId="49" xfId="0" applyFont="1" applyBorder="1" applyAlignment="1">
      <alignment vertical="center"/>
    </xf>
    <xf numFmtId="4" fontId="14" fillId="0" borderId="36" xfId="0" applyNumberFormat="1" applyFont="1" applyBorder="1" applyAlignment="1">
      <alignment vertical="center"/>
    </xf>
    <xf numFmtId="43" fontId="16" fillId="16" borderId="0" xfId="0" applyNumberFormat="1" applyFont="1" applyFill="1" applyAlignment="1">
      <alignment vertical="center"/>
    </xf>
    <xf numFmtId="43" fontId="16" fillId="16" borderId="48" xfId="0" applyNumberFormat="1" applyFont="1" applyFill="1" applyBorder="1" applyAlignment="1">
      <alignment vertical="center"/>
    </xf>
    <xf numFmtId="9" fontId="16" fillId="16" borderId="48" xfId="0" applyNumberFormat="1" applyFont="1" applyFill="1" applyBorder="1" applyAlignment="1">
      <alignment horizontal="center" vertical="center"/>
    </xf>
    <xf numFmtId="0" fontId="14" fillId="0" borderId="38" xfId="0" applyFont="1" applyBorder="1" applyAlignment="1">
      <alignment vertical="center"/>
    </xf>
    <xf numFmtId="43" fontId="16" fillId="15" borderId="0" xfId="0" applyNumberFormat="1" applyFont="1" applyFill="1" applyAlignment="1">
      <alignment vertical="center"/>
    </xf>
    <xf numFmtId="43" fontId="16" fillId="15" borderId="48" xfId="0" applyNumberFormat="1" applyFont="1" applyFill="1" applyBorder="1" applyAlignment="1">
      <alignment vertical="center"/>
    </xf>
    <xf numFmtId="9" fontId="16" fillId="15" borderId="48" xfId="0" applyNumberFormat="1" applyFont="1" applyFill="1" applyBorder="1" applyAlignment="1">
      <alignment horizontal="center" vertical="center"/>
    </xf>
    <xf numFmtId="4" fontId="14" fillId="0" borderId="48" xfId="0" applyNumberFormat="1" applyFont="1" applyBorder="1" applyAlignment="1">
      <alignment vertical="center"/>
    </xf>
    <xf numFmtId="9" fontId="14" fillId="0" borderId="48" xfId="0" applyNumberFormat="1" applyFont="1" applyBorder="1" applyAlignment="1">
      <alignment horizontal="center" vertical="center"/>
    </xf>
    <xf numFmtId="9" fontId="16" fillId="16" borderId="42" xfId="0" applyNumberFormat="1" applyFont="1" applyFill="1" applyBorder="1" applyAlignment="1">
      <alignment horizontal="center" vertical="center"/>
    </xf>
    <xf numFmtId="9" fontId="14" fillId="0" borderId="0" xfId="0" applyNumberFormat="1" applyFont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1" xfId="0" applyFont="1" applyBorder="1" applyAlignment="1">
      <alignment vertical="center"/>
    </xf>
    <xf numFmtId="9" fontId="16" fillId="15" borderId="49" xfId="0" applyNumberFormat="1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1" xfId="0" applyFont="1" applyBorder="1" applyAlignment="1">
      <alignment vertical="center"/>
    </xf>
    <xf numFmtId="4" fontId="14" fillId="17" borderId="0" xfId="0" applyNumberFormat="1" applyFont="1" applyFill="1" applyAlignment="1">
      <alignment vertical="center"/>
    </xf>
    <xf numFmtId="0" fontId="14" fillId="0" borderId="46" xfId="0" applyFont="1" applyBorder="1" applyAlignment="1">
      <alignment horizontal="center" vertical="center"/>
    </xf>
    <xf numFmtId="0" fontId="14" fillId="0" borderId="0" xfId="0" applyFont="1" applyAlignment="1">
      <alignment wrapText="1"/>
    </xf>
    <xf numFmtId="0" fontId="6" fillId="0" borderId="5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2" fillId="26" borderId="0" xfId="0" applyFont="1" applyFill="1"/>
    <xf numFmtId="0" fontId="42" fillId="27" borderId="0" xfId="0" applyFont="1" applyFill="1"/>
    <xf numFmtId="0" fontId="42" fillId="28" borderId="0" xfId="0" applyFont="1" applyFill="1"/>
    <xf numFmtId="0" fontId="42" fillId="29" borderId="0" xfId="0" applyFont="1" applyFill="1"/>
    <xf numFmtId="0" fontId="42" fillId="30" borderId="0" xfId="0" applyFont="1" applyFill="1"/>
    <xf numFmtId="0" fontId="8" fillId="0" borderId="0" xfId="0" applyFont="1" applyAlignment="1">
      <alignment vertical="center"/>
    </xf>
    <xf numFmtId="0" fontId="5" fillId="4" borderId="11" xfId="0" applyFont="1" applyFill="1" applyBorder="1" applyAlignment="1">
      <alignment horizontal="center" vertical="center" wrapText="1"/>
    </xf>
    <xf numFmtId="43" fontId="5" fillId="4" borderId="11" xfId="1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9" borderId="56" xfId="0" applyFont="1" applyFill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/>
    </xf>
    <xf numFmtId="43" fontId="22" fillId="8" borderId="56" xfId="1" applyFont="1" applyFill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43" fontId="22" fillId="7" borderId="56" xfId="1" applyFont="1" applyFill="1" applyBorder="1" applyAlignment="1">
      <alignment horizontal="center" vertical="center"/>
    </xf>
    <xf numFmtId="43" fontId="22" fillId="6" borderId="56" xfId="1" applyFont="1" applyFill="1" applyBorder="1" applyAlignment="1">
      <alignment horizontal="center" vertical="center"/>
    </xf>
    <xf numFmtId="43" fontId="17" fillId="0" borderId="56" xfId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11" borderId="0" xfId="0" applyFont="1" applyFill="1" applyAlignment="1">
      <alignment horizontal="center" vertical="center" wrapText="1"/>
    </xf>
    <xf numFmtId="9" fontId="16" fillId="8" borderId="0" xfId="0" applyNumberFormat="1" applyFont="1" applyFill="1" applyAlignment="1">
      <alignment horizontal="center" vertical="center"/>
    </xf>
    <xf numFmtId="9" fontId="16" fillId="15" borderId="0" xfId="0" applyNumberFormat="1" applyFont="1" applyFill="1" applyAlignment="1">
      <alignment horizontal="center" vertical="center"/>
    </xf>
    <xf numFmtId="9" fontId="16" fillId="16" borderId="0" xfId="0" applyNumberFormat="1" applyFont="1" applyFill="1" applyAlignment="1">
      <alignment horizontal="center" vertical="center"/>
    </xf>
    <xf numFmtId="0" fontId="17" fillId="0" borderId="0" xfId="0" applyFont="1"/>
    <xf numFmtId="0" fontId="22" fillId="0" borderId="0" xfId="0" applyFont="1" applyAlignment="1">
      <alignment wrapText="1"/>
    </xf>
    <xf numFmtId="0" fontId="17" fillId="17" borderId="11" xfId="0" applyFont="1" applyFill="1" applyBorder="1" applyAlignment="1">
      <alignment wrapText="1"/>
    </xf>
    <xf numFmtId="4" fontId="17" fillId="17" borderId="11" xfId="0" applyNumberFormat="1" applyFont="1" applyFill="1" applyBorder="1" applyAlignment="1">
      <alignment wrapText="1"/>
    </xf>
    <xf numFmtId="0" fontId="22" fillId="31" borderId="72" xfId="0" applyFont="1" applyFill="1" applyBorder="1" applyAlignment="1">
      <alignment horizontal="center" wrapText="1"/>
    </xf>
    <xf numFmtId="0" fontId="22" fillId="31" borderId="73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36" fillId="4" borderId="11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49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43" fontId="8" fillId="0" borderId="0" xfId="1" applyFont="1" applyAlignment="1">
      <alignment wrapText="1"/>
    </xf>
    <xf numFmtId="0" fontId="17" fillId="0" borderId="11" xfId="0" applyFont="1" applyBorder="1"/>
    <xf numFmtId="4" fontId="17" fillId="0" borderId="11" xfId="0" applyNumberFormat="1" applyFont="1" applyBorder="1"/>
    <xf numFmtId="0" fontId="4" fillId="4" borderId="11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 textRotation="90" wrapText="1"/>
    </xf>
    <xf numFmtId="164" fontId="4" fillId="4" borderId="56" xfId="2" applyNumberFormat="1" applyFont="1" applyFill="1" applyBorder="1" applyAlignment="1">
      <alignment vertical="center" wrapText="1"/>
    </xf>
    <xf numFmtId="165" fontId="8" fillId="0" borderId="0" xfId="0" applyNumberFormat="1" applyFont="1" applyAlignment="1">
      <alignment wrapText="1"/>
    </xf>
    <xf numFmtId="43" fontId="8" fillId="0" borderId="11" xfId="0" applyNumberFormat="1" applyFont="1" applyBorder="1"/>
    <xf numFmtId="0" fontId="8" fillId="0" borderId="11" xfId="0" applyFont="1" applyBorder="1"/>
    <xf numFmtId="43" fontId="40" fillId="0" borderId="56" xfId="1" applyFont="1" applyBorder="1" applyAlignment="1">
      <alignment horizontal="center" vertical="center"/>
    </xf>
    <xf numFmtId="4" fontId="0" fillId="0" borderId="0" xfId="0" applyNumberFormat="1"/>
    <xf numFmtId="4" fontId="6" fillId="0" borderId="56" xfId="0" applyNumberFormat="1" applyFont="1" applyBorder="1" applyAlignment="1">
      <alignment horizontal="center" vertical="center" wrapText="1"/>
    </xf>
    <xf numFmtId="49" fontId="8" fillId="0" borderId="0" xfId="0" applyNumberFormat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43" fontId="40" fillId="0" borderId="56" xfId="1" applyFont="1" applyBorder="1" applyAlignment="1">
      <alignment horizontal="center" vertical="center" wrapText="1"/>
    </xf>
    <xf numFmtId="0" fontId="44" fillId="0" borderId="0" xfId="0" applyFont="1"/>
    <xf numFmtId="0" fontId="15" fillId="34" borderId="79" xfId="0" applyFont="1" applyFill="1" applyBorder="1" applyAlignment="1">
      <alignment horizontal="center" vertical="center" wrapText="1"/>
    </xf>
    <xf numFmtId="43" fontId="15" fillId="34" borderId="11" xfId="1" applyFont="1" applyFill="1" applyBorder="1" applyAlignment="1">
      <alignment horizontal="center" vertical="center" wrapText="1"/>
    </xf>
    <xf numFmtId="0" fontId="15" fillId="34" borderId="11" xfId="0" applyFont="1" applyFill="1" applyBorder="1" applyAlignment="1">
      <alignment horizontal="center" vertical="center" wrapText="1"/>
    </xf>
    <xf numFmtId="0" fontId="15" fillId="34" borderId="80" xfId="0" applyFont="1" applyFill="1" applyBorder="1" applyAlignment="1">
      <alignment horizontal="center" vertical="center" wrapText="1"/>
    </xf>
    <xf numFmtId="43" fontId="15" fillId="0" borderId="81" xfId="0" applyNumberFormat="1" applyFont="1" applyBorder="1" applyAlignment="1">
      <alignment horizontal="center" vertical="center"/>
    </xf>
    <xf numFmtId="43" fontId="15" fillId="0" borderId="10" xfId="1" applyFont="1" applyBorder="1" applyAlignment="1">
      <alignment horizontal="center" vertical="center"/>
    </xf>
    <xf numFmtId="43" fontId="15" fillId="0" borderId="10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43" fontId="15" fillId="0" borderId="82" xfId="0" applyNumberFormat="1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 textRotation="90" wrapText="1"/>
    </xf>
    <xf numFmtId="0" fontId="8" fillId="0" borderId="59" xfId="0" applyFont="1" applyBorder="1" applyAlignment="1">
      <alignment horizontal="center"/>
    </xf>
    <xf numFmtId="49" fontId="6" fillId="0" borderId="86" xfId="0" applyNumberFormat="1" applyFont="1" applyBorder="1" applyAlignment="1">
      <alignment horizontal="center" vertical="center" wrapText="1"/>
    </xf>
    <xf numFmtId="44" fontId="6" fillId="0" borderId="59" xfId="0" applyNumberFormat="1" applyFont="1" applyBorder="1" applyAlignment="1">
      <alignment vertical="center"/>
    </xf>
    <xf numFmtId="44" fontId="6" fillId="0" borderId="56" xfId="0" applyNumberFormat="1" applyFont="1" applyBorder="1" applyAlignment="1">
      <alignment vertical="center"/>
    </xf>
    <xf numFmtId="0" fontId="6" fillId="0" borderId="56" xfId="0" applyFont="1" applyBorder="1" applyAlignment="1">
      <alignment horizontal="left" vertical="center" wrapText="1"/>
    </xf>
    <xf numFmtId="44" fontId="6" fillId="17" borderId="56" xfId="0" applyNumberFormat="1" applyFont="1" applyFill="1" applyBorder="1" applyAlignment="1">
      <alignment horizontal="center" vertical="center"/>
    </xf>
    <xf numFmtId="43" fontId="8" fillId="0" borderId="56" xfId="1" applyFont="1" applyBorder="1" applyAlignment="1">
      <alignment vertical="center"/>
    </xf>
    <xf numFmtId="44" fontId="6" fillId="2" borderId="56" xfId="0" applyNumberFormat="1" applyFont="1" applyFill="1" applyBorder="1" applyAlignment="1">
      <alignment vertical="center"/>
    </xf>
    <xf numFmtId="44" fontId="6" fillId="17" borderId="56" xfId="0" applyNumberFormat="1" applyFont="1" applyFill="1" applyBorder="1" applyAlignment="1">
      <alignment vertical="center" wrapText="1"/>
    </xf>
    <xf numFmtId="0" fontId="45" fillId="17" borderId="56" xfId="0" applyFont="1" applyFill="1" applyBorder="1" applyAlignment="1">
      <alignment horizontal="left" vertical="center" wrapText="1"/>
    </xf>
    <xf numFmtId="44" fontId="8" fillId="0" borderId="56" xfId="0" applyNumberFormat="1" applyFont="1" applyBorder="1" applyAlignment="1">
      <alignment vertical="center" wrapText="1"/>
    </xf>
    <xf numFmtId="44" fontId="8" fillId="0" borderId="56" xfId="0" applyNumberFormat="1" applyFont="1" applyBorder="1" applyAlignment="1">
      <alignment vertical="center"/>
    </xf>
    <xf numFmtId="43" fontId="6" fillId="0" borderId="56" xfId="0" applyNumberFormat="1" applyFont="1" applyBorder="1" applyAlignment="1">
      <alignment horizontal="center" vertical="center" wrapText="1"/>
    </xf>
    <xf numFmtId="43" fontId="8" fillId="17" borderId="56" xfId="1" applyFont="1" applyFill="1" applyBorder="1" applyAlignment="1">
      <alignment vertical="center" wrapText="1"/>
    </xf>
    <xf numFmtId="166" fontId="6" fillId="17" borderId="56" xfId="0" applyNumberFormat="1" applyFont="1" applyFill="1" applyBorder="1" applyAlignment="1">
      <alignment vertical="center" wrapText="1"/>
    </xf>
    <xf numFmtId="0" fontId="46" fillId="2" borderId="56" xfId="0" applyFont="1" applyFill="1" applyBorder="1" applyAlignment="1">
      <alignment vertical="top" wrapText="1"/>
    </xf>
    <xf numFmtId="0" fontId="6" fillId="0" borderId="56" xfId="0" applyFont="1" applyBorder="1" applyAlignment="1">
      <alignment vertical="center"/>
    </xf>
    <xf numFmtId="43" fontId="8" fillId="0" borderId="56" xfId="1" applyFont="1" applyFill="1" applyBorder="1" applyAlignment="1">
      <alignment vertical="center" wrapText="1"/>
    </xf>
    <xf numFmtId="0" fontId="6" fillId="0" borderId="56" xfId="0" applyFont="1" applyBorder="1" applyAlignment="1">
      <alignment wrapText="1"/>
    </xf>
    <xf numFmtId="43" fontId="6" fillId="0" borderId="56" xfId="1" applyFont="1" applyFill="1" applyBorder="1" applyAlignment="1">
      <alignment vertical="center" wrapText="1"/>
    </xf>
    <xf numFmtId="49" fontId="6" fillId="0" borderId="56" xfId="0" applyNumberFormat="1" applyFont="1" applyBorder="1" applyAlignment="1">
      <alignment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right" vertical="center" wrapText="1"/>
    </xf>
    <xf numFmtId="49" fontId="4" fillId="4" borderId="61" xfId="0" applyNumberFormat="1" applyFont="1" applyFill="1" applyBorder="1" applyAlignment="1">
      <alignment vertical="center" wrapText="1"/>
    </xf>
    <xf numFmtId="49" fontId="6" fillId="0" borderId="59" xfId="0" applyNumberFormat="1" applyFont="1" applyBorder="1" applyAlignment="1">
      <alignment horizontal="center" vertical="center" wrapText="1"/>
    </xf>
    <xf numFmtId="0" fontId="6" fillId="0" borderId="59" xfId="0" applyFont="1" applyBorder="1" applyAlignment="1">
      <alignment vertical="center" wrapText="1"/>
    </xf>
    <xf numFmtId="0" fontId="8" fillId="0" borderId="59" xfId="0" applyFont="1" applyBorder="1" applyAlignment="1">
      <alignment horizontal="left" vertical="center" wrapText="1"/>
    </xf>
    <xf numFmtId="0" fontId="8" fillId="0" borderId="59" xfId="0" applyFont="1" applyBorder="1"/>
    <xf numFmtId="0" fontId="8" fillId="0" borderId="59" xfId="0" applyFont="1" applyBorder="1" applyAlignment="1">
      <alignment horizontal="center" vertical="center"/>
    </xf>
    <xf numFmtId="4" fontId="8" fillId="0" borderId="59" xfId="0" applyNumberFormat="1" applyFont="1" applyBorder="1" applyAlignment="1">
      <alignment vertical="center"/>
    </xf>
    <xf numFmtId="17" fontId="7" fillId="0" borderId="59" xfId="0" applyNumberFormat="1" applyFont="1" applyBorder="1" applyAlignment="1">
      <alignment vertical="center" wrapText="1"/>
    </xf>
    <xf numFmtId="0" fontId="9" fillId="0" borderId="56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left" wrapText="1"/>
    </xf>
    <xf numFmtId="0" fontId="49" fillId="0" borderId="56" xfId="0" applyFont="1" applyBorder="1"/>
    <xf numFmtId="0" fontId="8" fillId="0" borderId="56" xfId="0" applyFont="1" applyBorder="1"/>
    <xf numFmtId="49" fontId="6" fillId="0" borderId="56" xfId="0" applyNumberFormat="1" applyFont="1" applyBorder="1" applyAlignment="1">
      <alignment horizontal="left" wrapText="1"/>
    </xf>
    <xf numFmtId="49" fontId="6" fillId="0" borderId="56" xfId="0" applyNumberFormat="1" applyFont="1" applyBorder="1" applyAlignment="1">
      <alignment horizontal="right" wrapText="1"/>
    </xf>
    <xf numFmtId="43" fontId="51" fillId="0" borderId="56" xfId="1" applyFont="1" applyBorder="1" applyAlignment="1">
      <alignment vertical="center" wrapText="1"/>
    </xf>
    <xf numFmtId="0" fontId="51" fillId="0" borderId="56" xfId="0" applyFont="1" applyBorder="1"/>
    <xf numFmtId="4" fontId="6" fillId="0" borderId="56" xfId="0" applyNumberFormat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17" borderId="56" xfId="0" applyFont="1" applyFill="1" applyBorder="1" applyAlignment="1">
      <alignment horizontal="left" vertical="center" wrapText="1"/>
    </xf>
    <xf numFmtId="0" fontId="7" fillId="0" borderId="56" xfId="0" applyFont="1" applyBorder="1" applyAlignment="1">
      <alignment vertical="top" wrapText="1"/>
    </xf>
    <xf numFmtId="8" fontId="6" fillId="0" borderId="56" xfId="1" applyNumberFormat="1" applyFont="1" applyFill="1" applyBorder="1" applyAlignment="1">
      <alignment horizontal="right" vertical="center" wrapText="1"/>
    </xf>
    <xf numFmtId="49" fontId="6" fillId="0" borderId="56" xfId="0" applyNumberFormat="1" applyFont="1" applyBorder="1" applyAlignment="1">
      <alignment horizontal="left" vertical="center" wrapText="1"/>
    </xf>
    <xf numFmtId="0" fontId="37" fillId="0" borderId="56" xfId="0" applyFont="1" applyBorder="1" applyAlignment="1">
      <alignment horizontal="left" vertical="center" wrapText="1"/>
    </xf>
    <xf numFmtId="8" fontId="6" fillId="0" borderId="56" xfId="1" applyNumberFormat="1" applyFont="1" applyBorder="1" applyAlignment="1">
      <alignment horizontal="right" vertical="center" wrapText="1"/>
    </xf>
    <xf numFmtId="0" fontId="7" fillId="0" borderId="56" xfId="0" applyFont="1" applyBorder="1" applyAlignment="1">
      <alignment horizontal="left" vertical="center" wrapText="1"/>
    </xf>
    <xf numFmtId="43" fontId="6" fillId="0" borderId="56" xfId="1" applyFont="1" applyBorder="1" applyAlignment="1">
      <alignment horizontal="right" vertical="center" wrapText="1"/>
    </xf>
    <xf numFmtId="0" fontId="4" fillId="0" borderId="56" xfId="0" applyFont="1" applyBorder="1" applyAlignment="1">
      <alignment vertical="center" wrapText="1"/>
    </xf>
    <xf numFmtId="165" fontId="8" fillId="0" borderId="56" xfId="1" applyNumberFormat="1" applyFont="1" applyBorder="1" applyAlignment="1">
      <alignment vertical="center" wrapText="1"/>
    </xf>
    <xf numFmtId="0" fontId="7" fillId="0" borderId="56" xfId="0" applyFont="1" applyBorder="1" applyAlignment="1">
      <alignment horizontal="left" vertical="top" wrapText="1"/>
    </xf>
    <xf numFmtId="165" fontId="6" fillId="17" borderId="56" xfId="1" applyNumberFormat="1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right" vertical="center" textRotation="90" wrapText="1"/>
    </xf>
    <xf numFmtId="165" fontId="4" fillId="4" borderId="56" xfId="0" applyNumberFormat="1" applyFont="1" applyFill="1" applyBorder="1" applyAlignment="1">
      <alignment vertical="center" wrapText="1"/>
    </xf>
    <xf numFmtId="165" fontId="36" fillId="4" borderId="56" xfId="0" applyNumberFormat="1" applyFont="1" applyFill="1" applyBorder="1" applyAlignment="1">
      <alignment vertical="center" wrapText="1"/>
    </xf>
    <xf numFmtId="0" fontId="4" fillId="4" borderId="56" xfId="0" applyFont="1" applyFill="1" applyBorder="1" applyAlignment="1">
      <alignment vertical="center" wrapText="1"/>
    </xf>
    <xf numFmtId="0" fontId="5" fillId="4" borderId="56" xfId="0" applyFont="1" applyFill="1" applyBorder="1" applyAlignment="1">
      <alignment vertical="center" wrapText="1"/>
    </xf>
    <xf numFmtId="43" fontId="8" fillId="0" borderId="56" xfId="1" applyFont="1" applyFill="1" applyBorder="1" applyAlignment="1">
      <alignment horizontal="center" vertical="center" wrapText="1"/>
    </xf>
    <xf numFmtId="0" fontId="47" fillId="0" borderId="56" xfId="0" applyFont="1" applyBorder="1" applyAlignment="1">
      <alignment vertical="center" wrapText="1"/>
    </xf>
    <xf numFmtId="0" fontId="48" fillId="0" borderId="56" xfId="0" applyFont="1" applyBorder="1" applyAlignment="1">
      <alignment vertical="center" wrapText="1"/>
    </xf>
    <xf numFmtId="167" fontId="50" fillId="0" borderId="56" xfId="0" applyNumberFormat="1" applyFont="1" applyBorder="1" applyAlignment="1">
      <alignment horizontal="center" vertical="center" wrapText="1"/>
    </xf>
    <xf numFmtId="43" fontId="6" fillId="0" borderId="56" xfId="0" applyNumberFormat="1" applyFont="1" applyBorder="1" applyAlignment="1">
      <alignment vertical="center" wrapText="1"/>
    </xf>
    <xf numFmtId="0" fontId="37" fillId="0" borderId="56" xfId="0" applyFont="1" applyBorder="1" applyAlignment="1">
      <alignment horizontal="center" vertical="center"/>
    </xf>
    <xf numFmtId="0" fontId="8" fillId="0" borderId="56" xfId="0" applyFont="1" applyBorder="1" applyAlignment="1">
      <alignment wrapText="1"/>
    </xf>
    <xf numFmtId="0" fontId="43" fillId="0" borderId="56" xfId="0" applyFont="1" applyBorder="1" applyAlignment="1">
      <alignment vertical="center" wrapText="1"/>
    </xf>
    <xf numFmtId="0" fontId="50" fillId="0" borderId="56" xfId="0" applyFont="1" applyBorder="1" applyAlignment="1">
      <alignment horizontal="center" vertical="center" wrapText="1"/>
    </xf>
    <xf numFmtId="43" fontId="6" fillId="17" borderId="56" xfId="1" applyFont="1" applyFill="1" applyBorder="1" applyAlignment="1">
      <alignment horizontal="center" vertical="center" wrapText="1"/>
    </xf>
    <xf numFmtId="43" fontId="8" fillId="0" borderId="56" xfId="1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43" fontId="6" fillId="0" borderId="56" xfId="0" applyNumberFormat="1" applyFont="1" applyBorder="1" applyAlignment="1">
      <alignment horizontal="center" vertical="center"/>
    </xf>
    <xf numFmtId="165" fontId="6" fillId="0" borderId="56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3" fillId="0" borderId="6" xfId="0" applyFont="1" applyBorder="1" applyAlignment="1">
      <alignment wrapText="1"/>
    </xf>
    <xf numFmtId="0" fontId="8" fillId="0" borderId="56" xfId="0" applyFont="1" applyBorder="1" applyAlignment="1">
      <alignment vertical="center"/>
    </xf>
    <xf numFmtId="0" fontId="9" fillId="0" borderId="56" xfId="0" applyFont="1" applyBorder="1" applyAlignment="1">
      <alignment vertical="center" wrapText="1"/>
    </xf>
    <xf numFmtId="0" fontId="44" fillId="0" borderId="0" xfId="0" applyFont="1" applyAlignment="1">
      <alignment vertical="center"/>
    </xf>
    <xf numFmtId="43" fontId="27" fillId="8" borderId="56" xfId="1" applyFont="1" applyFill="1" applyBorder="1" applyAlignment="1">
      <alignment horizontal="center" vertical="center"/>
    </xf>
    <xf numFmtId="43" fontId="15" fillId="6" borderId="71" xfId="1" applyFont="1" applyFill="1" applyBorder="1" applyAlignment="1">
      <alignment horizontal="center" vertical="center"/>
    </xf>
    <xf numFmtId="164" fontId="15" fillId="6" borderId="87" xfId="1" applyNumberFormat="1" applyFont="1" applyFill="1" applyBorder="1" applyAlignment="1">
      <alignment horizontal="center" vertical="center"/>
    </xf>
    <xf numFmtId="43" fontId="7" fillId="0" borderId="56" xfId="1" applyFont="1" applyBorder="1" applyAlignment="1">
      <alignment vertical="center" wrapText="1"/>
    </xf>
    <xf numFmtId="44" fontId="6" fillId="0" borderId="56" xfId="0" applyNumberFormat="1" applyFont="1" applyBorder="1" applyAlignment="1">
      <alignment vertical="center" wrapText="1"/>
    </xf>
    <xf numFmtId="0" fontId="6" fillId="0" borderId="59" xfId="0" applyFont="1" applyBorder="1" applyAlignment="1">
      <alignment horizontal="center" vertical="center" wrapText="1"/>
    </xf>
    <xf numFmtId="0" fontId="21" fillId="0" borderId="56" xfId="0" applyFont="1" applyBorder="1" applyAlignment="1">
      <alignment vertical="center" wrapText="1"/>
    </xf>
    <xf numFmtId="0" fontId="4" fillId="4" borderId="56" xfId="0" applyFont="1" applyFill="1" applyBorder="1" applyAlignment="1">
      <alignment horizontal="right" vertical="center" wrapText="1"/>
    </xf>
    <xf numFmtId="0" fontId="41" fillId="4" borderId="56" xfId="0" applyFont="1" applyFill="1" applyBorder="1" applyAlignment="1">
      <alignment horizontal="right" vertical="center" wrapText="1"/>
    </xf>
    <xf numFmtId="0" fontId="36" fillId="16" borderId="11" xfId="0" applyFont="1" applyFill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3" borderId="57" xfId="0" applyFont="1" applyFill="1" applyBorder="1" applyAlignment="1">
      <alignment horizontal="center" vertical="center" textRotation="90" wrapText="1"/>
    </xf>
    <xf numFmtId="49" fontId="6" fillId="0" borderId="56" xfId="0" quotePrefix="1" applyNumberFormat="1" applyFont="1" applyBorder="1" applyAlignment="1">
      <alignment wrapText="1"/>
    </xf>
    <xf numFmtId="0" fontId="6" fillId="0" borderId="56" xfId="0" applyFont="1" applyBorder="1" applyAlignment="1">
      <alignment horizontal="left" wrapText="1"/>
    </xf>
    <xf numFmtId="0" fontId="11" fillId="3" borderId="58" xfId="0" applyFont="1" applyFill="1" applyBorder="1" applyAlignment="1">
      <alignment horizontal="center" vertical="center" textRotation="90" wrapText="1"/>
    </xf>
    <xf numFmtId="0" fontId="9" fillId="0" borderId="56" xfId="0" applyFont="1" applyBorder="1" applyAlignment="1">
      <alignment wrapText="1"/>
    </xf>
    <xf numFmtId="0" fontId="6" fillId="0" borderId="56" xfId="0" applyFont="1" applyBorder="1" applyAlignment="1">
      <alignment horizontal="center" wrapText="1"/>
    </xf>
    <xf numFmtId="0" fontId="7" fillId="33" borderId="56" xfId="0" applyFont="1" applyFill="1" applyBorder="1" applyAlignment="1">
      <alignment vertical="center" wrapText="1"/>
    </xf>
    <xf numFmtId="0" fontId="7" fillId="0" borderId="56" xfId="0" applyFont="1" applyBorder="1" applyAlignment="1">
      <alignment wrapText="1"/>
    </xf>
    <xf numFmtId="0" fontId="9" fillId="0" borderId="56" xfId="0" applyFont="1" applyBorder="1" applyAlignment="1">
      <alignment horizontal="left" wrapText="1"/>
    </xf>
    <xf numFmtId="8" fontId="6" fillId="0" borderId="56" xfId="1" applyNumberFormat="1" applyFont="1" applyBorder="1" applyAlignment="1">
      <alignment vertical="center" wrapText="1"/>
    </xf>
    <xf numFmtId="0" fontId="7" fillId="0" borderId="56" xfId="0" applyFont="1" applyBorder="1" applyAlignment="1">
      <alignment vertical="center"/>
    </xf>
    <xf numFmtId="0" fontId="4" fillId="2" borderId="56" xfId="0" applyFont="1" applyFill="1" applyBorder="1" applyAlignment="1">
      <alignment vertical="center" textRotation="90" wrapText="1"/>
    </xf>
    <xf numFmtId="165" fontId="4" fillId="4" borderId="56" xfId="0" applyNumberFormat="1" applyFont="1" applyFill="1" applyBorder="1" applyAlignment="1">
      <alignment horizontal="left" vertical="center" wrapText="1"/>
    </xf>
    <xf numFmtId="0" fontId="11" fillId="3" borderId="59" xfId="0" applyFont="1" applyFill="1" applyBorder="1" applyAlignment="1">
      <alignment horizontal="center" vertical="center" textRotation="90" wrapText="1"/>
    </xf>
    <xf numFmtId="0" fontId="41" fillId="4" borderId="56" xfId="0" applyFont="1" applyFill="1" applyBorder="1" applyAlignment="1">
      <alignment vertical="center" wrapText="1"/>
    </xf>
    <xf numFmtId="0" fontId="36" fillId="16" borderId="11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59" xfId="0" applyFont="1" applyBorder="1" applyAlignment="1">
      <alignment vertical="center"/>
    </xf>
    <xf numFmtId="0" fontId="45" fillId="0" borderId="56" xfId="0" applyFont="1" applyBorder="1" applyAlignment="1">
      <alignment horizontal="left" vertical="top" wrapText="1"/>
    </xf>
    <xf numFmtId="0" fontId="6" fillId="0" borderId="58" xfId="0" applyFont="1" applyBorder="1" applyAlignment="1">
      <alignment horizontal="center" vertical="center"/>
    </xf>
    <xf numFmtId="8" fontId="6" fillId="17" borderId="56" xfId="0" applyNumberFormat="1" applyFont="1" applyFill="1" applyBorder="1" applyAlignment="1">
      <alignment vertical="center" wrapText="1"/>
    </xf>
    <xf numFmtId="0" fontId="6" fillId="0" borderId="56" xfId="0" applyFont="1" applyBorder="1" applyAlignment="1">
      <alignment horizontal="center" vertical="top" wrapText="1"/>
    </xf>
    <xf numFmtId="43" fontId="6" fillId="0" borderId="6" xfId="1" applyFont="1" applyBorder="1" applyAlignment="1">
      <alignment horizontal="right" vertical="center" wrapText="1"/>
    </xf>
    <xf numFmtId="0" fontId="6" fillId="0" borderId="58" xfId="0" applyFont="1" applyBorder="1" applyAlignment="1">
      <alignment horizontal="left" vertic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49" fontId="6" fillId="0" borderId="56" xfId="0" quotePrefix="1" applyNumberFormat="1" applyFont="1" applyBorder="1" applyAlignment="1">
      <alignment horizontal="center" vertical="center" wrapText="1"/>
    </xf>
    <xf numFmtId="4" fontId="8" fillId="0" borderId="56" xfId="0" applyNumberFormat="1" applyFont="1" applyBorder="1" applyAlignment="1">
      <alignment vertical="center" wrapText="1"/>
    </xf>
    <xf numFmtId="165" fontId="6" fillId="0" borderId="56" xfId="1" applyNumberFormat="1" applyFont="1" applyFill="1" applyBorder="1" applyAlignment="1">
      <alignment vertical="center" wrapText="1"/>
    </xf>
    <xf numFmtId="8" fontId="6" fillId="0" borderId="56" xfId="0" applyNumberFormat="1" applyFont="1" applyBorder="1" applyAlignment="1">
      <alignment horizontal="center" vertical="center" wrapText="1"/>
    </xf>
    <xf numFmtId="0" fontId="6" fillId="32" borderId="56" xfId="0" applyFont="1" applyFill="1" applyBorder="1" applyAlignment="1">
      <alignment horizontal="center" vertical="center" wrapText="1"/>
    </xf>
    <xf numFmtId="8" fontId="8" fillId="0" borderId="56" xfId="1" applyNumberFormat="1" applyFont="1" applyBorder="1" applyAlignment="1">
      <alignment vertical="center" wrapText="1"/>
    </xf>
    <xf numFmtId="8" fontId="8" fillId="0" borderId="56" xfId="1" applyNumberFormat="1" applyFont="1" applyBorder="1" applyAlignment="1">
      <alignment horizontal="right" vertical="center" wrapText="1"/>
    </xf>
    <xf numFmtId="49" fontId="8" fillId="0" borderId="56" xfId="0" applyNumberFormat="1" applyFont="1" applyBorder="1" applyAlignment="1">
      <alignment horizontal="left" vertical="center" wrapText="1"/>
    </xf>
    <xf numFmtId="49" fontId="8" fillId="0" borderId="56" xfId="0" applyNumberFormat="1" applyFont="1" applyBorder="1" applyAlignment="1">
      <alignment horizontal="right" wrapText="1"/>
    </xf>
    <xf numFmtId="0" fontId="8" fillId="0" borderId="56" xfId="0" applyFont="1" applyBorder="1" applyAlignment="1">
      <alignment horizontal="left" vertical="center" wrapText="1"/>
    </xf>
    <xf numFmtId="0" fontId="8" fillId="17" borderId="56" xfId="0" applyFont="1" applyFill="1" applyBorder="1" applyAlignment="1">
      <alignment horizontal="left" vertical="center" wrapText="1"/>
    </xf>
    <xf numFmtId="0" fontId="8" fillId="0" borderId="56" xfId="0" applyFont="1" applyBorder="1" applyAlignment="1">
      <alignment vertical="center" wrapText="1"/>
    </xf>
    <xf numFmtId="4" fontId="17" fillId="0" borderId="0" xfId="0" applyNumberFormat="1" applyFont="1" applyAlignment="1">
      <alignment horizontal="center" vertical="center"/>
    </xf>
    <xf numFmtId="0" fontId="6" fillId="0" borderId="62" xfId="0" applyFont="1" applyBorder="1" applyAlignment="1">
      <alignment vertical="center" wrapText="1"/>
    </xf>
    <xf numFmtId="0" fontId="6" fillId="0" borderId="87" xfId="0" applyFont="1" applyBorder="1" applyAlignment="1">
      <alignment horizontal="center" vertical="center"/>
    </xf>
    <xf numFmtId="0" fontId="45" fillId="17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52" fillId="0" borderId="56" xfId="0" applyFont="1" applyBorder="1" applyAlignment="1">
      <alignment horizontal="left" vertical="center" wrapText="1"/>
    </xf>
    <xf numFmtId="9" fontId="15" fillId="0" borderId="10" xfId="0" applyNumberFormat="1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top" wrapText="1"/>
    </xf>
    <xf numFmtId="0" fontId="6" fillId="0" borderId="59" xfId="0" applyFont="1" applyBorder="1" applyAlignment="1">
      <alignment horizontal="center" vertical="top"/>
    </xf>
    <xf numFmtId="0" fontId="6" fillId="26" borderId="59" xfId="0" applyFont="1" applyFill="1" applyBorder="1" applyAlignment="1">
      <alignment horizontal="center" vertical="center" wrapText="1"/>
    </xf>
    <xf numFmtId="0" fontId="6" fillId="28" borderId="56" xfId="0" applyFont="1" applyFill="1" applyBorder="1" applyAlignment="1">
      <alignment horizontal="center" vertical="center" wrapText="1"/>
    </xf>
    <xf numFmtId="0" fontId="53" fillId="0" borderId="56" xfId="0" applyFont="1" applyBorder="1" applyAlignment="1">
      <alignment vertical="center" wrapText="1"/>
    </xf>
    <xf numFmtId="8" fontId="55" fillId="0" borderId="0" xfId="0" applyNumberFormat="1" applyFont="1"/>
    <xf numFmtId="4" fontId="56" fillId="0" borderId="0" xfId="0" applyNumberFormat="1" applyFont="1"/>
    <xf numFmtId="43" fontId="57" fillId="0" borderId="56" xfId="1" applyFont="1" applyBorder="1" applyAlignment="1">
      <alignment vertical="center" wrapText="1"/>
    </xf>
    <xf numFmtId="4" fontId="57" fillId="0" borderId="59" xfId="0" applyNumberFormat="1" applyFont="1" applyBorder="1" applyAlignment="1">
      <alignment vertical="center"/>
    </xf>
    <xf numFmtId="43" fontId="59" fillId="0" borderId="56" xfId="1" applyFont="1" applyBorder="1" applyAlignment="1">
      <alignment horizontal="center" vertical="center"/>
    </xf>
    <xf numFmtId="0" fontId="17" fillId="0" borderId="11" xfId="0" applyFont="1" applyBorder="1" applyAlignment="1">
      <alignment wrapText="1"/>
    </xf>
    <xf numFmtId="0" fontId="17" fillId="0" borderId="0" xfId="0" applyFont="1" applyAlignment="1">
      <alignment vertical="center"/>
    </xf>
    <xf numFmtId="43" fontId="57" fillId="0" borderId="0" xfId="0" applyNumberFormat="1" applyFont="1"/>
    <xf numFmtId="165" fontId="60" fillId="17" borderId="56" xfId="1" applyNumberFormat="1" applyFont="1" applyFill="1" applyBorder="1" applyAlignment="1">
      <alignment vertical="center" wrapText="1"/>
    </xf>
    <xf numFmtId="4" fontId="6" fillId="0" borderId="11" xfId="0" applyNumberFormat="1" applyFont="1" applyBorder="1" applyAlignment="1">
      <alignment horizontal="center" vertical="center" wrapText="1"/>
    </xf>
    <xf numFmtId="43" fontId="8" fillId="0" borderId="62" xfId="1" applyFont="1" applyBorder="1" applyAlignment="1">
      <alignment vertical="center" wrapText="1"/>
    </xf>
    <xf numFmtId="0" fontId="8" fillId="0" borderId="87" xfId="0" applyFont="1" applyBorder="1" applyAlignment="1">
      <alignment vertical="center"/>
    </xf>
    <xf numFmtId="4" fontId="6" fillId="0" borderId="57" xfId="0" applyNumberFormat="1" applyFont="1" applyBorder="1" applyAlignment="1">
      <alignment horizontal="center" vertical="center" wrapText="1"/>
    </xf>
    <xf numFmtId="4" fontId="6" fillId="0" borderId="59" xfId="0" applyNumberFormat="1" applyFont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vertical="center" textRotation="90" wrapText="1"/>
    </xf>
    <xf numFmtId="0" fontId="11" fillId="12" borderId="24" xfId="0" applyFont="1" applyFill="1" applyBorder="1" applyAlignment="1">
      <alignment horizontal="center" vertical="center" textRotation="90" wrapText="1"/>
    </xf>
    <xf numFmtId="0" fontId="11" fillId="12" borderId="6" xfId="0" applyFont="1" applyFill="1" applyBorder="1" applyAlignment="1">
      <alignment horizontal="center" vertical="center" textRotation="90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4" fillId="8" borderId="23" xfId="0" applyNumberFormat="1" applyFont="1" applyFill="1" applyBorder="1" applyAlignment="1">
      <alignment horizontal="center" vertical="center" wrapText="1"/>
    </xf>
    <xf numFmtId="49" fontId="4" fillId="8" borderId="11" xfId="0" applyNumberFormat="1" applyFont="1" applyFill="1" applyBorder="1" applyAlignment="1">
      <alignment horizontal="center" vertical="center" wrapText="1"/>
    </xf>
    <xf numFmtId="49" fontId="4" fillId="11" borderId="23" xfId="0" applyNumberFormat="1" applyFont="1" applyFill="1" applyBorder="1" applyAlignment="1">
      <alignment horizontal="center" vertical="center" wrapText="1"/>
    </xf>
    <xf numFmtId="49" fontId="4" fillId="11" borderId="11" xfId="0" applyNumberFormat="1" applyFont="1" applyFill="1" applyBorder="1" applyAlignment="1">
      <alignment horizontal="center" vertical="center" wrapText="1"/>
    </xf>
    <xf numFmtId="49" fontId="4" fillId="11" borderId="14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11" xfId="0" applyNumberFormat="1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164" fontId="4" fillId="4" borderId="3" xfId="2" applyNumberFormat="1" applyFont="1" applyFill="1" applyBorder="1" applyAlignment="1">
      <alignment horizontal="center" vertical="center" wrapText="1"/>
    </xf>
    <xf numFmtId="164" fontId="4" fillId="4" borderId="53" xfId="2" applyNumberFormat="1" applyFont="1" applyFill="1" applyBorder="1" applyAlignment="1">
      <alignment horizontal="center" vertical="center" wrapText="1"/>
    </xf>
    <xf numFmtId="164" fontId="4" fillId="4" borderId="23" xfId="2" applyNumberFormat="1" applyFont="1" applyFill="1" applyBorder="1" applyAlignment="1">
      <alignment horizontal="center" vertical="center" wrapText="1"/>
    </xf>
    <xf numFmtId="43" fontId="5" fillId="4" borderId="5" xfId="1" applyFont="1" applyFill="1" applyBorder="1" applyAlignment="1">
      <alignment horizontal="center" vertical="center" wrapText="1"/>
    </xf>
    <xf numFmtId="43" fontId="5" fillId="4" borderId="11" xfId="1" applyFont="1" applyFill="1" applyBorder="1" applyAlignment="1">
      <alignment horizontal="center" vertical="center" wrapText="1"/>
    </xf>
    <xf numFmtId="0" fontId="15" fillId="9" borderId="74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0" fontId="15" fillId="29" borderId="77" xfId="0" applyFont="1" applyFill="1" applyBorder="1" applyAlignment="1">
      <alignment horizontal="center" vertical="center"/>
    </xf>
    <xf numFmtId="0" fontId="15" fillId="29" borderId="6" xfId="0" applyFont="1" applyFill="1" applyBorder="1" applyAlignment="1">
      <alignment horizontal="center" vertical="center"/>
    </xf>
    <xf numFmtId="0" fontId="15" fillId="29" borderId="78" xfId="0" applyFont="1" applyFill="1" applyBorder="1" applyAlignment="1">
      <alignment horizontal="center" vertical="center"/>
    </xf>
    <xf numFmtId="0" fontId="22" fillId="34" borderId="83" xfId="0" quotePrefix="1" applyFont="1" applyFill="1" applyBorder="1" applyAlignment="1">
      <alignment horizontal="center" vertical="center" wrapText="1" indent="1"/>
    </xf>
    <xf numFmtId="0" fontId="22" fillId="34" borderId="84" xfId="0" applyFont="1" applyFill="1" applyBorder="1" applyAlignment="1">
      <alignment horizontal="center" vertical="center" wrapText="1" indent="1"/>
    </xf>
    <xf numFmtId="0" fontId="40" fillId="0" borderId="74" xfId="0" applyFont="1" applyBorder="1" applyAlignment="1">
      <alignment horizontal="center" vertical="center" wrapText="1"/>
    </xf>
    <xf numFmtId="0" fontId="40" fillId="0" borderId="75" xfId="0" applyFont="1" applyBorder="1" applyAlignment="1">
      <alignment horizontal="center" vertical="center" wrapText="1"/>
    </xf>
    <xf numFmtId="0" fontId="40" fillId="0" borderId="76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0" fontId="11" fillId="3" borderId="56" xfId="0" applyFont="1" applyFill="1" applyBorder="1" applyAlignment="1">
      <alignment horizontal="center" vertical="center" textRotation="90" wrapText="1"/>
    </xf>
    <xf numFmtId="0" fontId="3" fillId="5" borderId="56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 textRotation="90" wrapText="1"/>
    </xf>
    <xf numFmtId="0" fontId="4" fillId="4" borderId="56" xfId="0" applyFont="1" applyFill="1" applyBorder="1" applyAlignment="1">
      <alignment horizontal="right" vertical="center" wrapText="1"/>
    </xf>
    <xf numFmtId="0" fontId="6" fillId="0" borderId="56" xfId="0" applyFont="1" applyBorder="1" applyAlignment="1">
      <alignment horizontal="center" vertical="center"/>
    </xf>
    <xf numFmtId="39" fontId="4" fillId="4" borderId="56" xfId="0" applyNumberFormat="1" applyFont="1" applyFill="1" applyBorder="1" applyAlignment="1">
      <alignment vertical="center" wrapText="1"/>
    </xf>
    <xf numFmtId="164" fontId="4" fillId="4" borderId="56" xfId="2" applyNumberFormat="1" applyFont="1" applyFill="1" applyBorder="1" applyAlignment="1">
      <alignment vertical="center" wrapText="1"/>
    </xf>
    <xf numFmtId="0" fontId="41" fillId="4" borderId="56" xfId="0" applyFont="1" applyFill="1" applyBorder="1" applyAlignment="1">
      <alignment horizontal="right" vertical="center" wrapText="1"/>
    </xf>
    <xf numFmtId="0" fontId="8" fillId="0" borderId="57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6" fillId="0" borderId="57" xfId="0" applyFont="1" applyBorder="1" applyAlignment="1">
      <alignment horizontal="center" vertical="top" wrapText="1"/>
    </xf>
    <xf numFmtId="0" fontId="6" fillId="0" borderId="59" xfId="0" applyFont="1" applyBorder="1" applyAlignment="1">
      <alignment horizontal="center" vertical="top" wrapText="1"/>
    </xf>
    <xf numFmtId="0" fontId="6" fillId="0" borderId="57" xfId="0" applyFont="1" applyBorder="1" applyAlignment="1">
      <alignment horizontal="center" vertical="top"/>
    </xf>
    <xf numFmtId="0" fontId="6" fillId="0" borderId="59" xfId="0" applyFont="1" applyBorder="1" applyAlignment="1">
      <alignment horizontal="center" vertical="top"/>
    </xf>
    <xf numFmtId="0" fontId="6" fillId="0" borderId="57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45" fillId="17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9" fontId="6" fillId="0" borderId="56" xfId="0" applyNumberFormat="1" applyFont="1" applyBorder="1" applyAlignment="1">
      <alignment horizontal="center" vertical="center"/>
    </xf>
    <xf numFmtId="0" fontId="6" fillId="17" borderId="56" xfId="0" applyFont="1" applyFill="1" applyBorder="1" applyAlignment="1">
      <alignment horizontal="left" vertical="center" wrapText="1"/>
    </xf>
    <xf numFmtId="0" fontId="6" fillId="0" borderId="56" xfId="0" applyFont="1" applyBorder="1" applyAlignment="1">
      <alignment horizontal="left" vertical="center" wrapText="1"/>
    </xf>
    <xf numFmtId="0" fontId="6" fillId="0" borderId="56" xfId="0" applyFont="1" applyBorder="1" applyAlignment="1">
      <alignment horizontal="left" vertical="top" wrapText="1"/>
    </xf>
    <xf numFmtId="17" fontId="7" fillId="0" borderId="56" xfId="0" applyNumberFormat="1" applyFont="1" applyBorder="1" applyAlignment="1">
      <alignment horizontal="center" vertical="center" wrapText="1"/>
    </xf>
    <xf numFmtId="17" fontId="6" fillId="0" borderId="56" xfId="0" applyNumberFormat="1" applyFont="1" applyBorder="1" applyAlignment="1">
      <alignment horizontal="center" vertical="center" wrapText="1"/>
    </xf>
    <xf numFmtId="0" fontId="3" fillId="5" borderId="57" xfId="0" applyFont="1" applyFill="1" applyBorder="1" applyAlignment="1">
      <alignment vertical="center"/>
    </xf>
    <xf numFmtId="0" fontId="3" fillId="5" borderId="57" xfId="0" applyFont="1" applyFill="1" applyBorder="1" applyAlignment="1">
      <alignment horizontal="center" vertical="center"/>
    </xf>
    <xf numFmtId="44" fontId="6" fillId="17" borderId="56" xfId="0" applyNumberFormat="1" applyFont="1" applyFill="1" applyBorder="1" applyAlignment="1">
      <alignment horizontal="center" vertical="center" wrapText="1"/>
    </xf>
    <xf numFmtId="44" fontId="6" fillId="17" borderId="56" xfId="0" applyNumberFormat="1" applyFont="1" applyFill="1" applyBorder="1" applyAlignment="1">
      <alignment horizontal="center" vertical="center"/>
    </xf>
    <xf numFmtId="0" fontId="45" fillId="17" borderId="56" xfId="0" applyFont="1" applyFill="1" applyBorder="1" applyAlignment="1">
      <alignment horizontal="left" vertical="center" wrapText="1"/>
    </xf>
    <xf numFmtId="49" fontId="6" fillId="0" borderId="56" xfId="0" applyNumberFormat="1" applyFont="1" applyBorder="1" applyAlignment="1">
      <alignment horizontal="center" vertical="center" wrapText="1"/>
    </xf>
    <xf numFmtId="0" fontId="33" fillId="18" borderId="11" xfId="0" applyFont="1" applyFill="1" applyBorder="1" applyAlignment="1">
      <alignment vertical="center"/>
    </xf>
    <xf numFmtId="0" fontId="33" fillId="18" borderId="11" xfId="0" applyFont="1" applyFill="1" applyBorder="1" applyAlignment="1">
      <alignment horizontal="left" vertical="center"/>
    </xf>
    <xf numFmtId="0" fontId="33" fillId="23" borderId="11" xfId="0" applyFont="1" applyFill="1" applyBorder="1" applyAlignment="1">
      <alignment vertical="center"/>
    </xf>
    <xf numFmtId="0" fontId="22" fillId="14" borderId="11" xfId="0" applyFont="1" applyFill="1" applyBorder="1" applyAlignment="1">
      <alignment horizontal="center" vertical="center" wrapText="1"/>
    </xf>
    <xf numFmtId="0" fontId="22" fillId="14" borderId="9" xfId="0" applyFont="1" applyFill="1" applyBorder="1" applyAlignment="1">
      <alignment horizontal="center" vertical="center" wrapText="1"/>
    </xf>
    <xf numFmtId="0" fontId="22" fillId="14" borderId="24" xfId="0" applyFont="1" applyFill="1" applyBorder="1" applyAlignment="1">
      <alignment horizontal="center" vertical="center" wrapText="1"/>
    </xf>
    <xf numFmtId="0" fontId="22" fillId="13" borderId="11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0" fontId="22" fillId="14" borderId="11" xfId="0" applyFont="1" applyFill="1" applyBorder="1" applyAlignment="1">
      <alignment vertical="center" wrapText="1"/>
    </xf>
    <xf numFmtId="0" fontId="22" fillId="14" borderId="9" xfId="0" applyFont="1" applyFill="1" applyBorder="1" applyAlignment="1">
      <alignment vertical="center" wrapText="1"/>
    </xf>
    <xf numFmtId="0" fontId="18" fillId="16" borderId="35" xfId="0" applyFont="1" applyFill="1" applyBorder="1" applyAlignment="1">
      <alignment horizontal="left" vertical="center" wrapText="1"/>
    </xf>
    <xf numFmtId="0" fontId="18" fillId="16" borderId="0" xfId="0" applyFont="1" applyFill="1" applyAlignment="1">
      <alignment horizontal="left" vertical="center" wrapText="1"/>
    </xf>
    <xf numFmtId="0" fontId="18" fillId="16" borderId="42" xfId="0" applyFont="1" applyFill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17" fillId="0" borderId="39" xfId="0" applyFont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15" fillId="8" borderId="35" xfId="0" applyFont="1" applyFill="1" applyBorder="1" applyAlignment="1">
      <alignment horizontal="center" vertical="center"/>
    </xf>
    <xf numFmtId="0" fontId="15" fillId="8" borderId="42" xfId="0" applyFont="1" applyFill="1" applyBorder="1" applyAlignment="1">
      <alignment horizontal="center" vertical="center"/>
    </xf>
    <xf numFmtId="0" fontId="15" fillId="8" borderId="40" xfId="0" applyFont="1" applyFill="1" applyBorder="1" applyAlignment="1">
      <alignment horizontal="center" vertical="center"/>
    </xf>
    <xf numFmtId="0" fontId="15" fillId="15" borderId="35" xfId="0" applyFont="1" applyFill="1" applyBorder="1" applyAlignment="1">
      <alignment horizontal="center" vertical="center"/>
    </xf>
    <xf numFmtId="0" fontId="15" fillId="15" borderId="42" xfId="0" applyFont="1" applyFill="1" applyBorder="1" applyAlignment="1">
      <alignment horizontal="center" vertical="center"/>
    </xf>
    <xf numFmtId="0" fontId="15" fillId="15" borderId="40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left" vertical="center" wrapText="1"/>
    </xf>
    <xf numFmtId="0" fontId="18" fillId="16" borderId="40" xfId="0" applyFont="1" applyFill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0" fontId="17" fillId="0" borderId="34" xfId="0" applyFont="1" applyBorder="1" applyAlignment="1">
      <alignment vertical="center" wrapText="1"/>
    </xf>
    <xf numFmtId="0" fontId="17" fillId="0" borderId="45" xfId="0" applyFont="1" applyBorder="1" applyAlignment="1">
      <alignment vertical="center" wrapText="1"/>
    </xf>
    <xf numFmtId="0" fontId="17" fillId="0" borderId="41" xfId="0" applyFont="1" applyBorder="1" applyAlignment="1">
      <alignment vertical="center" wrapText="1"/>
    </xf>
    <xf numFmtId="0" fontId="18" fillId="16" borderId="46" xfId="0" applyFont="1" applyFill="1" applyBorder="1" applyAlignment="1">
      <alignment horizontal="left" vertical="center" wrapText="1"/>
    </xf>
    <xf numFmtId="0" fontId="17" fillId="0" borderId="36" xfId="0" applyFont="1" applyBorder="1" applyAlignment="1">
      <alignment vertical="center" wrapText="1"/>
    </xf>
    <xf numFmtId="0" fontId="17" fillId="0" borderId="44" xfId="0" applyFont="1" applyBorder="1" applyAlignment="1">
      <alignment vertical="center" wrapText="1"/>
    </xf>
    <xf numFmtId="0" fontId="17" fillId="0" borderId="39" xfId="0" applyFont="1" applyBorder="1" applyAlignment="1">
      <alignment vertical="center" wrapText="1"/>
    </xf>
    <xf numFmtId="0" fontId="18" fillId="16" borderId="36" xfId="0" applyFont="1" applyFill="1" applyBorder="1" applyAlignment="1">
      <alignment horizontal="left" vertical="center" wrapText="1"/>
    </xf>
    <xf numFmtId="0" fontId="18" fillId="16" borderId="37" xfId="0" applyFont="1" applyFill="1" applyBorder="1" applyAlignment="1">
      <alignment horizontal="left" vertical="center" wrapText="1"/>
    </xf>
    <xf numFmtId="0" fontId="18" fillId="16" borderId="44" xfId="0" applyFont="1" applyFill="1" applyBorder="1" applyAlignment="1">
      <alignment horizontal="left" vertical="center" wrapText="1"/>
    </xf>
    <xf numFmtId="0" fontId="18" fillId="16" borderId="49" xfId="0" applyFont="1" applyFill="1" applyBorder="1" applyAlignment="1">
      <alignment horizontal="left" vertical="center" wrapText="1"/>
    </xf>
    <xf numFmtId="0" fontId="25" fillId="17" borderId="0" xfId="0" applyFont="1" applyFill="1"/>
    <xf numFmtId="0" fontId="15" fillId="0" borderId="47" xfId="0" applyFont="1" applyBorder="1" applyAlignment="1">
      <alignment horizontal="right"/>
    </xf>
    <xf numFmtId="0" fontId="3" fillId="5" borderId="56" xfId="0" applyFont="1" applyFill="1" applyBorder="1" applyAlignment="1">
      <alignment horizontal="center" vertical="center" wrapText="1"/>
    </xf>
    <xf numFmtId="0" fontId="18" fillId="25" borderId="35" xfId="0" applyFont="1" applyFill="1" applyBorder="1" applyAlignment="1">
      <alignment horizontal="left" vertical="center" wrapText="1"/>
    </xf>
    <xf numFmtId="44" fontId="15" fillId="0" borderId="81" xfId="0" applyNumberFormat="1" applyFont="1" applyBorder="1" applyAlignment="1">
      <alignment horizontal="center" vertical="center"/>
    </xf>
    <xf numFmtId="44" fontId="15" fillId="0" borderId="10" xfId="1" applyNumberFormat="1" applyFont="1" applyBorder="1" applyAlignment="1">
      <alignment horizontal="center" vertical="center"/>
    </xf>
    <xf numFmtId="44" fontId="15" fillId="0" borderId="10" xfId="0" applyNumberFormat="1" applyFont="1" applyBorder="1" applyAlignment="1">
      <alignment horizontal="center" vertical="center"/>
    </xf>
    <xf numFmtId="44" fontId="15" fillId="0" borderId="82" xfId="0" applyNumberFormat="1" applyFont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69">
    <dxf>
      <font>
        <color rgb="FFC00000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5" tint="-0.499984740745262"/>
      </font>
      <fill>
        <patternFill patternType="solid">
          <bgColor rgb="FFF4FFB8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color rgb="FFC00000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5" tint="-0.499984740745262"/>
      </font>
      <fill>
        <patternFill patternType="solid">
          <bgColor rgb="FFF4FFB8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theme="9" tint="-0.249977111117893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theme="5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1"/>
      </font>
      <fill>
        <patternFill patternType="solid">
          <bgColor rgb="FF92D050"/>
        </patternFill>
      </fill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color rgb="FFC00000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5" tint="-0.499984740745262"/>
      </font>
      <fill>
        <patternFill patternType="solid">
          <bgColor rgb="FFF4FFB8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0.39997558519241921"/>
        </patternFill>
      </fill>
    </dxf>
    <dxf>
      <font>
        <color theme="0"/>
      </font>
      <fill>
        <patternFill patternType="solid">
          <bgColor theme="9" tint="-0.249977111117893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à dotação - GAB/SE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23-4542-AF87-39FF6E0F05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23-4542-AF87-39FF6E0F05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SCDP'!$Z$8:$Z$9</c:f>
              <c:strCache>
                <c:ptCount val="2"/>
                <c:pt idx="0">
                  <c:v>Passagens e Diarias</c:v>
                </c:pt>
                <c:pt idx="1">
                  <c:v>Dotação</c:v>
                </c:pt>
              </c:strCache>
            </c:strRef>
          </c:cat>
          <c:val>
            <c:numRef>
              <c:f>'DIÁRIAS E PASSAGENS - SCDP'!$AB$8:$AB$9</c:f>
              <c:numCache>
                <c:formatCode>0.0%</c:formatCode>
                <c:ptCount val="2"/>
                <c:pt idx="0">
                  <c:v>1.1326870075232264E-2</c:v>
                </c:pt>
                <c:pt idx="1">
                  <c:v>0.98867312992476775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083-466E-B810-AD2C33C5264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ao empenhado - GAB/SE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F5-4456-AD42-DE33D429B0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F5-4456-AD42-DE33D429B0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|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SCDP'!$Z$12:$Z$13</c:f>
              <c:strCache>
                <c:ptCount val="2"/>
                <c:pt idx="0">
                  <c:v>Passagens e Diarias</c:v>
                </c:pt>
                <c:pt idx="1">
                  <c:v>Empenho</c:v>
                </c:pt>
              </c:strCache>
            </c:strRef>
          </c:cat>
          <c:val>
            <c:numRef>
              <c:f>'DIÁRIAS E PASSAGENS - SCDP'!$AB$12:$AB$13</c:f>
              <c:numCache>
                <c:formatCode>0.0%</c:formatCode>
                <c:ptCount val="2"/>
                <c:pt idx="0">
                  <c:v>0.62215350710508932</c:v>
                </c:pt>
                <c:pt idx="1">
                  <c:v>0.37784649289491068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B-4E53-9300-40D2C46315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ao empenho - SENAPIR</a:t>
            </a:r>
          </a:p>
        </c:rich>
      </c:tx>
      <c:layout>
        <c:manualLayout>
          <c:xMode val="edge"/>
          <c:yMode val="edge"/>
          <c:x val="0.129770821038193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49-4330-AC77-1B7E4E6801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9-4330-AC77-1B7E4E6801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SCDP'!$Z$29:$Z$30</c:f>
              <c:strCache>
                <c:ptCount val="2"/>
                <c:pt idx="0">
                  <c:v>Passagens e Diarias</c:v>
                </c:pt>
                <c:pt idx="1">
                  <c:v>Empenho</c:v>
                </c:pt>
              </c:strCache>
            </c:strRef>
          </c:cat>
          <c:val>
            <c:numRef>
              <c:f>'DIÁRIAS E PASSAGENS - SCDP'!$AB$29:$AB$30</c:f>
              <c:numCache>
                <c:formatCode>0.0%</c:formatCode>
                <c:ptCount val="2"/>
                <c:pt idx="0">
                  <c:v>0.54028299143624126</c:v>
                </c:pt>
                <c:pt idx="1">
                  <c:v>0.45971700856375874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DC-4602-9AAE-5AEC2C9A0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à dotação - - SENAPIR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1D-4827-9B05-23FB7448EE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1D-4827-9B05-23FB7448EE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SCDP'!$Z$25:$Z$26</c:f>
              <c:strCache>
                <c:ptCount val="2"/>
                <c:pt idx="0">
                  <c:v>Passagens e Diarias</c:v>
                </c:pt>
                <c:pt idx="1">
                  <c:v>Dotação</c:v>
                </c:pt>
              </c:strCache>
            </c:strRef>
          </c:cat>
          <c:val>
            <c:numRef>
              <c:f>'DIÁRIAS E PASSAGENS - SCDP'!$AB$25:$AB$26</c:f>
              <c:numCache>
                <c:formatCode>0.0%</c:formatCode>
                <c:ptCount val="2"/>
                <c:pt idx="0">
                  <c:v>4.4576617444556273E-3</c:v>
                </c:pt>
                <c:pt idx="1">
                  <c:v>0.99554233825554439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4-428F-AE84-BB8FD16EF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ao empenho - SEPAR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52-4D90-8B7D-366FDC436A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52-4D90-8B7D-366FDC436A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SCDP'!$Z$41:$Z$42</c:f>
              <c:strCache>
                <c:ptCount val="2"/>
                <c:pt idx="0">
                  <c:v>Passagens e Diarias</c:v>
                </c:pt>
                <c:pt idx="1">
                  <c:v>Empenho</c:v>
                </c:pt>
              </c:strCache>
            </c:strRef>
          </c:cat>
          <c:val>
            <c:numRef>
              <c:f>'DIÁRIAS E PASSAGENS - SCDP'!$AB$41:$AB$42</c:f>
              <c:numCache>
                <c:formatCode>0.0%</c:formatCode>
                <c:ptCount val="2"/>
                <c:pt idx="0">
                  <c:v>0.61051009282809454</c:v>
                </c:pt>
                <c:pt idx="1">
                  <c:v>0.38948990717190546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6-4F39-99DE-D67DA8E88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à dotação - - SEPAR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18-4CC1-9EF3-FFA1318D5C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18-4CC1-9EF3-FFA1318D5C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SCDP'!$Z$37:$Z$38</c:f>
              <c:strCache>
                <c:ptCount val="2"/>
                <c:pt idx="0">
                  <c:v>Passagens e Diarias</c:v>
                </c:pt>
                <c:pt idx="1">
                  <c:v>Dotação</c:v>
                </c:pt>
              </c:strCache>
            </c:strRef>
          </c:cat>
          <c:val>
            <c:numRef>
              <c:f>'DIÁRIAS E PASSAGENS - SCDP'!$AB$37:$AB$38</c:f>
              <c:numCache>
                <c:formatCode>0.0%</c:formatCode>
                <c:ptCount val="2"/>
                <c:pt idx="0">
                  <c:v>1.0591180863092898E-2</c:v>
                </c:pt>
                <c:pt idx="1">
                  <c:v>0.98940881913690715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E-4960-B2CD-1DA530FFB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ao empenho - SQPT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75-49C2-B4E0-CB3FFE5A41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75-49C2-B4E0-CB3FFE5A41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SCDP'!$Z$64:$Z$65</c:f>
              <c:strCache>
                <c:ptCount val="2"/>
                <c:pt idx="0">
                  <c:v>Passagens e Diarias</c:v>
                </c:pt>
                <c:pt idx="1">
                  <c:v>Empenho</c:v>
                </c:pt>
              </c:strCache>
            </c:strRef>
          </c:cat>
          <c:val>
            <c:numRef>
              <c:f>'DIÁRIAS E PASSAGENS - SCDP'!$AB$64:$AB$65</c:f>
              <c:numCache>
                <c:formatCode>0.0%</c:formatCode>
                <c:ptCount val="2"/>
                <c:pt idx="0">
                  <c:v>0.50924775794360255</c:v>
                </c:pt>
                <c:pt idx="1">
                  <c:v>0.49075224205639745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7-4AD4-BA4A-C72579544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à dotação - SQPT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ED-4990-9FCF-33316CC3D5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ED-4990-9FCF-33316CC3D5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SCDP'!$Z$60:$Z$61</c:f>
              <c:strCache>
                <c:ptCount val="2"/>
                <c:pt idx="0">
                  <c:v>Passagens e Diarias</c:v>
                </c:pt>
                <c:pt idx="1">
                  <c:v>Dotação</c:v>
                </c:pt>
              </c:strCache>
            </c:strRef>
          </c:cat>
          <c:val>
            <c:numRef>
              <c:f>'DIÁRIAS E PASSAGENS - SCDP'!$AB$60:$AB$61</c:f>
              <c:numCache>
                <c:formatCode>0.0%</c:formatCode>
                <c:ptCount val="2"/>
                <c:pt idx="0">
                  <c:v>6.8223166840090839E-3</c:v>
                </c:pt>
                <c:pt idx="1">
                  <c:v>0.99317768331599088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FC-4CBB-8FB2-81CAF9260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ao empenho - CNPIR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E0-46B7-AE3C-C54A36B03F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E0-46B7-AE3C-C54A36B03F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SCDP'!$Z$77:$Z$78</c:f>
              <c:strCache>
                <c:ptCount val="2"/>
                <c:pt idx="0">
                  <c:v>Passagens e Diarias</c:v>
                </c:pt>
                <c:pt idx="1">
                  <c:v>Empenho</c:v>
                </c:pt>
              </c:strCache>
            </c:strRef>
          </c:cat>
          <c:val>
            <c:numRef>
              <c:f>'DIÁRIAS E PASSAGENS - SCDP'!$AB$77:$AB$78</c:f>
              <c:numCache>
                <c:formatCode>0.0%</c:formatCode>
                <c:ptCount val="2"/>
                <c:pt idx="0">
                  <c:v>0.67554284938941656</c:v>
                </c:pt>
                <c:pt idx="1">
                  <c:v>0.32445715061058344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D-4D92-82AD-1D5E8A9F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legend>
      <c:legendPos val="r"/>
      <c:overlay val="1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de gasto com passagens e diárias em relação à dotação - CNPIR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0C-44EF-AF0A-1F7956931D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0C-44EF-AF0A-1F7956931D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'DIÁRIAS E PASSAGENS - SCDP'!$Z$73:$Z$74</c:f>
              <c:strCache>
                <c:ptCount val="2"/>
                <c:pt idx="0">
                  <c:v>Passagens e Diarias</c:v>
                </c:pt>
                <c:pt idx="1">
                  <c:v>Dotação</c:v>
                </c:pt>
              </c:strCache>
            </c:strRef>
          </c:cat>
          <c:val>
            <c:numRef>
              <c:f>'DIÁRIAS E PASSAGENS - SCDP'!$AB$73:$AB$74</c:f>
              <c:numCache>
                <c:formatCode>0.0%</c:formatCode>
                <c:ptCount val="2"/>
                <c:pt idx="0">
                  <c:v>3.7443276406601811E-3</c:v>
                </c:pt>
                <c:pt idx="1">
                  <c:v>0.99625567235933987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E-404F-B374-6EFB84CEF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</xdr:row>
      <xdr:rowOff>0</xdr:rowOff>
    </xdr:from>
    <xdr:to>
      <xdr:col>23</xdr:col>
      <xdr:colOff>304800</xdr:colOff>
      <xdr:row>16</xdr:row>
      <xdr:rowOff>171450</xdr:rowOff>
    </xdr:to>
    <xdr:graphicFrame macro="">
      <xdr:nvGraphicFramePr>
        <xdr:cNvPr id="17" name="Gráfico 3">
          <a:extLst>
            <a:ext uri="{FF2B5EF4-FFF2-40B4-BE49-F238E27FC236}">
              <a16:creationId xmlns:a16="http://schemas.microsoft.com/office/drawing/2014/main" id="{09CDF550-AEA6-ED1E-B3D6-FA23EE2F1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5</xdr:row>
      <xdr:rowOff>57150</xdr:rowOff>
    </xdr:from>
    <xdr:to>
      <xdr:col>15</xdr:col>
      <xdr:colOff>323850</xdr:colOff>
      <xdr:row>16</xdr:row>
      <xdr:rowOff>200025</xdr:rowOff>
    </xdr:to>
    <xdr:graphicFrame macro="">
      <xdr:nvGraphicFramePr>
        <xdr:cNvPr id="18" name="Gráfico 4">
          <a:extLst>
            <a:ext uri="{FF2B5EF4-FFF2-40B4-BE49-F238E27FC236}">
              <a16:creationId xmlns:a16="http://schemas.microsoft.com/office/drawing/2014/main" id="{FB5F147C-0AE2-A1C5-791F-F93838140E83}"/>
            </a:ext>
            <a:ext uri="{147F2762-F138-4A5C-976F-8EAC2B608ADB}">
              <a16:predDERef xmlns:a16="http://schemas.microsoft.com/office/drawing/2014/main" pred="{09CDF550-AEA6-ED1E-B3D6-FA23EE2F1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247650</xdr:rowOff>
    </xdr:from>
    <xdr:to>
      <xdr:col>15</xdr:col>
      <xdr:colOff>304800</xdr:colOff>
      <xdr:row>33</xdr:row>
      <xdr:rowOff>161925</xdr:rowOff>
    </xdr:to>
    <xdr:graphicFrame macro="">
      <xdr:nvGraphicFramePr>
        <xdr:cNvPr id="19" name="Gráfico 6">
          <a:extLst>
            <a:ext uri="{FF2B5EF4-FFF2-40B4-BE49-F238E27FC236}">
              <a16:creationId xmlns:a16="http://schemas.microsoft.com/office/drawing/2014/main" id="{BAA4FF36-6AA3-FB4C-E4C3-AA25A6ECB97B}"/>
            </a:ext>
            <a:ext uri="{147F2762-F138-4A5C-976F-8EAC2B608ADB}">
              <a16:predDERef xmlns:a16="http://schemas.microsoft.com/office/drawing/2014/main" pred="{FB5F147C-0AE2-A1C5-791F-F93838140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22</xdr:row>
      <xdr:rowOff>238125</xdr:rowOff>
    </xdr:from>
    <xdr:to>
      <xdr:col>23</xdr:col>
      <xdr:colOff>304800</xdr:colOff>
      <xdr:row>33</xdr:row>
      <xdr:rowOff>152400</xdr:rowOff>
    </xdr:to>
    <xdr:graphicFrame macro="">
      <xdr:nvGraphicFramePr>
        <xdr:cNvPr id="20" name="Gráfico 7">
          <a:extLst>
            <a:ext uri="{FF2B5EF4-FFF2-40B4-BE49-F238E27FC236}">
              <a16:creationId xmlns:a16="http://schemas.microsoft.com/office/drawing/2014/main" id="{5CDCED34-D5B9-7AFC-7971-C71A87608EA2}"/>
            </a:ext>
            <a:ext uri="{147F2762-F138-4A5C-976F-8EAC2B608ADB}">
              <a16:predDERef xmlns:a16="http://schemas.microsoft.com/office/drawing/2014/main" pred="{BAA4FF36-6AA3-FB4C-E4C3-AA25A6ECB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34</xdr:row>
      <xdr:rowOff>247650</xdr:rowOff>
    </xdr:from>
    <xdr:to>
      <xdr:col>15</xdr:col>
      <xdr:colOff>304800</xdr:colOff>
      <xdr:row>45</xdr:row>
      <xdr:rowOff>161925</xdr:rowOff>
    </xdr:to>
    <xdr:graphicFrame macro="">
      <xdr:nvGraphicFramePr>
        <xdr:cNvPr id="21" name="Gráfico 8">
          <a:extLst>
            <a:ext uri="{FF2B5EF4-FFF2-40B4-BE49-F238E27FC236}">
              <a16:creationId xmlns:a16="http://schemas.microsoft.com/office/drawing/2014/main" id="{6B00683C-6149-6640-E859-321AC983B175}"/>
            </a:ext>
            <a:ext uri="{147F2762-F138-4A5C-976F-8EAC2B608ADB}">
              <a16:predDERef xmlns:a16="http://schemas.microsoft.com/office/drawing/2014/main" pred="{5CDCED34-D5B9-7AFC-7971-C71A87608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34</xdr:row>
      <xdr:rowOff>247650</xdr:rowOff>
    </xdr:from>
    <xdr:to>
      <xdr:col>23</xdr:col>
      <xdr:colOff>304800</xdr:colOff>
      <xdr:row>45</xdr:row>
      <xdr:rowOff>161925</xdr:rowOff>
    </xdr:to>
    <xdr:graphicFrame macro="">
      <xdr:nvGraphicFramePr>
        <xdr:cNvPr id="22" name="Gráfico 10">
          <a:extLst>
            <a:ext uri="{FF2B5EF4-FFF2-40B4-BE49-F238E27FC236}">
              <a16:creationId xmlns:a16="http://schemas.microsoft.com/office/drawing/2014/main" id="{FB88E4D8-13FB-8995-82F2-5F0A6F04F76E}"/>
            </a:ext>
            <a:ext uri="{147F2762-F138-4A5C-976F-8EAC2B608ADB}">
              <a16:predDERef xmlns:a16="http://schemas.microsoft.com/office/drawing/2014/main" pred="{6B00683C-6149-6640-E859-321AC983B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9525</xdr:colOff>
      <xdr:row>57</xdr:row>
      <xdr:rowOff>247650</xdr:rowOff>
    </xdr:from>
    <xdr:to>
      <xdr:col>15</xdr:col>
      <xdr:colOff>314325</xdr:colOff>
      <xdr:row>68</xdr:row>
      <xdr:rowOff>161925</xdr:rowOff>
    </xdr:to>
    <xdr:graphicFrame macro="">
      <xdr:nvGraphicFramePr>
        <xdr:cNvPr id="13" name="Gráfico 11">
          <a:extLst>
            <a:ext uri="{FF2B5EF4-FFF2-40B4-BE49-F238E27FC236}">
              <a16:creationId xmlns:a16="http://schemas.microsoft.com/office/drawing/2014/main" id="{E1DDD929-B35E-FCD4-39A8-ED2AFB708A10}"/>
            </a:ext>
            <a:ext uri="{147F2762-F138-4A5C-976F-8EAC2B608ADB}">
              <a16:predDERef xmlns:a16="http://schemas.microsoft.com/office/drawing/2014/main" pred="{FB88E4D8-13FB-8995-82F2-5F0A6F04F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57</xdr:row>
      <xdr:rowOff>247650</xdr:rowOff>
    </xdr:from>
    <xdr:to>
      <xdr:col>23</xdr:col>
      <xdr:colOff>304800</xdr:colOff>
      <xdr:row>68</xdr:row>
      <xdr:rowOff>161925</xdr:rowOff>
    </xdr:to>
    <xdr:graphicFrame macro="">
      <xdr:nvGraphicFramePr>
        <xdr:cNvPr id="14" name="Gráfico 12">
          <a:extLst>
            <a:ext uri="{FF2B5EF4-FFF2-40B4-BE49-F238E27FC236}">
              <a16:creationId xmlns:a16="http://schemas.microsoft.com/office/drawing/2014/main" id="{3E2A5D17-14EC-7E82-C059-4066E2A6FFD9}"/>
            </a:ext>
            <a:ext uri="{147F2762-F138-4A5C-976F-8EAC2B608ADB}">
              <a16:predDERef xmlns:a16="http://schemas.microsoft.com/office/drawing/2014/main" pred="{E1DDD929-B35E-FCD4-39A8-ED2AFB708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904875</xdr:colOff>
      <xdr:row>70</xdr:row>
      <xdr:rowOff>190500</xdr:rowOff>
    </xdr:from>
    <xdr:to>
      <xdr:col>15</xdr:col>
      <xdr:colOff>600075</xdr:colOff>
      <xdr:row>84</xdr:row>
      <xdr:rowOff>0</xdr:rowOff>
    </xdr:to>
    <xdr:graphicFrame macro="">
      <xdr:nvGraphicFramePr>
        <xdr:cNvPr id="15" name="Gráfico 13">
          <a:extLst>
            <a:ext uri="{FF2B5EF4-FFF2-40B4-BE49-F238E27FC236}">
              <a16:creationId xmlns:a16="http://schemas.microsoft.com/office/drawing/2014/main" id="{58896D69-6682-470F-8EA6-8309CCB3FE03}"/>
            </a:ext>
            <a:ext uri="{147F2762-F138-4A5C-976F-8EAC2B608ADB}">
              <a16:predDERef xmlns:a16="http://schemas.microsoft.com/office/drawing/2014/main" pred="{3E2A5D17-14EC-7E82-C059-4066E2A6F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142875</xdr:colOff>
      <xdr:row>70</xdr:row>
      <xdr:rowOff>228600</xdr:rowOff>
    </xdr:from>
    <xdr:to>
      <xdr:col>23</xdr:col>
      <xdr:colOff>447675</xdr:colOff>
      <xdr:row>84</xdr:row>
      <xdr:rowOff>38100</xdr:rowOff>
    </xdr:to>
    <xdr:graphicFrame macro="">
      <xdr:nvGraphicFramePr>
        <xdr:cNvPr id="16" name="Gráfico 14">
          <a:extLst>
            <a:ext uri="{FF2B5EF4-FFF2-40B4-BE49-F238E27FC236}">
              <a16:creationId xmlns:a16="http://schemas.microsoft.com/office/drawing/2014/main" id="{AB06BFCC-A91A-CA15-8563-1624BE4EB66B}"/>
            </a:ext>
            <a:ext uri="{147F2762-F138-4A5C-976F-8EAC2B608ADB}">
              <a16:predDERef xmlns:a16="http://schemas.microsoft.com/office/drawing/2014/main" pred="{58896D69-6682-470F-8EA6-8309CCB3F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5901-0759-4640-93D2-717180B5D7CE}">
  <dimension ref="A1:M29"/>
  <sheetViews>
    <sheetView workbookViewId="0">
      <selection activeCell="B2" sqref="B2"/>
    </sheetView>
  </sheetViews>
  <sheetFormatPr defaultColWidth="8.7109375" defaultRowHeight="26.25" customHeight="1" x14ac:dyDescent="0.4"/>
  <cols>
    <col min="1" max="1" width="8.7109375" style="14"/>
    <col min="2" max="2" width="10.28515625" style="7" customWidth="1"/>
    <col min="3" max="3" width="8.85546875" style="12" bestFit="1" customWidth="1"/>
    <col min="4" max="4" width="29.28515625" style="4" customWidth="1"/>
    <col min="5" max="5" width="15.28515625" style="4" customWidth="1"/>
    <col min="6" max="6" width="15.140625" style="4" bestFit="1" customWidth="1"/>
    <col min="7" max="7" width="15.7109375" style="10" customWidth="1"/>
    <col min="8" max="8" width="15.85546875" style="4" customWidth="1"/>
    <col min="9" max="9" width="15.140625" style="4" bestFit="1" customWidth="1"/>
    <col min="10" max="10" width="15.140625" style="4" customWidth="1"/>
    <col min="11" max="11" width="40.85546875" style="43" customWidth="1"/>
    <col min="12" max="12" width="3.140625" style="4" customWidth="1"/>
    <col min="13" max="13" width="14.140625" style="4" customWidth="1"/>
    <col min="14" max="16384" width="8.7109375" style="4"/>
  </cols>
  <sheetData>
    <row r="1" spans="1:13" ht="30.75" customHeight="1" x14ac:dyDescent="0.2">
      <c r="A1" s="575" t="s">
        <v>0</v>
      </c>
      <c r="B1" s="576"/>
      <c r="C1" s="576"/>
      <c r="D1" s="576"/>
      <c r="E1" s="576"/>
      <c r="F1" s="576"/>
      <c r="G1" s="576"/>
      <c r="H1" s="576"/>
      <c r="I1" s="576"/>
      <c r="J1" s="576"/>
      <c r="K1" s="577"/>
      <c r="L1" s="3"/>
    </row>
    <row r="2" spans="1:13" ht="30.95" customHeight="1" x14ac:dyDescent="0.2">
      <c r="A2" s="578" t="s">
        <v>1</v>
      </c>
      <c r="B2" s="580" t="s">
        <v>2</v>
      </c>
      <c r="C2" s="582" t="s">
        <v>3</v>
      </c>
      <c r="D2" s="586" t="s">
        <v>4</v>
      </c>
      <c r="E2" s="580" t="s">
        <v>5</v>
      </c>
      <c r="F2" s="586" t="s">
        <v>6</v>
      </c>
      <c r="G2" s="591" t="s">
        <v>7</v>
      </c>
      <c r="H2" s="586" t="s">
        <v>8</v>
      </c>
      <c r="I2" s="586" t="s">
        <v>9</v>
      </c>
      <c r="J2" s="586" t="s">
        <v>10</v>
      </c>
      <c r="K2" s="584" t="s">
        <v>11</v>
      </c>
      <c r="L2" s="3"/>
    </row>
    <row r="3" spans="1:13" ht="24.6" customHeight="1" x14ac:dyDescent="0.2">
      <c r="A3" s="579"/>
      <c r="B3" s="581"/>
      <c r="C3" s="583"/>
      <c r="D3" s="587"/>
      <c r="E3" s="581"/>
      <c r="F3" s="587"/>
      <c r="G3" s="592"/>
      <c r="H3" s="587"/>
      <c r="I3" s="587"/>
      <c r="J3" s="587"/>
      <c r="K3" s="585"/>
      <c r="L3" s="3"/>
    </row>
    <row r="4" spans="1:13" ht="56.25" customHeight="1" x14ac:dyDescent="0.2">
      <c r="A4" s="560" t="s">
        <v>12</v>
      </c>
      <c r="B4" s="40" t="s">
        <v>13</v>
      </c>
      <c r="C4" s="11" t="s">
        <v>14</v>
      </c>
      <c r="D4" s="568" t="s">
        <v>15</v>
      </c>
      <c r="E4" s="2" t="s">
        <v>16</v>
      </c>
      <c r="F4" s="16">
        <v>18899295</v>
      </c>
      <c r="G4" s="117">
        <v>18899295</v>
      </c>
      <c r="H4" s="8">
        <v>17466043.850000001</v>
      </c>
      <c r="I4" s="8">
        <v>10669894.07</v>
      </c>
      <c r="J4" s="83">
        <v>10420388.57</v>
      </c>
      <c r="K4" s="19" t="s">
        <v>17</v>
      </c>
      <c r="L4" s="3"/>
      <c r="M4" s="69"/>
    </row>
    <row r="5" spans="1:13" ht="24.95" customHeight="1" x14ac:dyDescent="0.2">
      <c r="A5" s="561"/>
      <c r="B5" s="40" t="s">
        <v>13</v>
      </c>
      <c r="C5" s="11" t="s">
        <v>14</v>
      </c>
      <c r="D5" s="568"/>
      <c r="E5" s="2" t="s">
        <v>18</v>
      </c>
      <c r="F5" s="16">
        <v>200000</v>
      </c>
      <c r="G5" s="1">
        <v>200000</v>
      </c>
      <c r="H5" s="8">
        <v>11925</v>
      </c>
      <c r="I5" s="8">
        <v>11925</v>
      </c>
      <c r="J5" s="83">
        <v>11925</v>
      </c>
      <c r="K5" s="19"/>
      <c r="L5" s="3"/>
    </row>
    <row r="6" spans="1:13" ht="24.95" customHeight="1" x14ac:dyDescent="0.2">
      <c r="A6" s="561"/>
      <c r="B6" s="569" t="s">
        <v>19</v>
      </c>
      <c r="C6" s="570"/>
      <c r="D6" s="570"/>
      <c r="E6" s="20"/>
      <c r="F6" s="26">
        <f>SUBTOTAL(109,F4:F5)</f>
        <v>19099295</v>
      </c>
      <c r="G6" s="26">
        <f>SUBTOTAL(109,G4:G5)</f>
        <v>19099295</v>
      </c>
      <c r="H6" s="26">
        <f>SUBTOTAL(109,H4:H5)</f>
        <v>17477968.850000001</v>
      </c>
      <c r="I6" s="26">
        <f>SUBTOTAL(109,I4:I5)</f>
        <v>10681819.07</v>
      </c>
      <c r="J6" s="26">
        <f>SUBTOTAL(109,J4:J5)</f>
        <v>10432313.57</v>
      </c>
      <c r="K6" s="21"/>
      <c r="L6" s="3"/>
      <c r="M6" s="69"/>
    </row>
    <row r="7" spans="1:13" ht="54.75" customHeight="1" x14ac:dyDescent="0.2">
      <c r="A7" s="561"/>
      <c r="B7" s="40" t="s">
        <v>13</v>
      </c>
      <c r="C7" s="11" t="s">
        <v>20</v>
      </c>
      <c r="D7" s="2" t="s">
        <v>21</v>
      </c>
      <c r="E7" s="2" t="s">
        <v>16</v>
      </c>
      <c r="F7" s="16">
        <v>317309</v>
      </c>
      <c r="G7" s="1">
        <v>317309</v>
      </c>
      <c r="H7" s="8">
        <v>288403.67</v>
      </c>
      <c r="I7" s="15">
        <v>132525.97</v>
      </c>
      <c r="J7" s="84">
        <v>132525.97</v>
      </c>
      <c r="K7" s="42" t="s">
        <v>22</v>
      </c>
      <c r="L7" s="3"/>
      <c r="M7" s="69"/>
    </row>
    <row r="8" spans="1:13" ht="24.95" customHeight="1" x14ac:dyDescent="0.2">
      <c r="A8" s="561"/>
      <c r="B8" s="569" t="s">
        <v>23</v>
      </c>
      <c r="C8" s="570"/>
      <c r="D8" s="570"/>
      <c r="E8" s="20"/>
      <c r="F8" s="26">
        <f>SUBTOTAL(109,F7)</f>
        <v>317309</v>
      </c>
      <c r="G8" s="26">
        <f t="shared" ref="G8:J8" si="0">SUBTOTAL(109,G7)</f>
        <v>317309</v>
      </c>
      <c r="H8" s="26">
        <f>SUBTOTAL(109,H7)</f>
        <v>288403.67</v>
      </c>
      <c r="I8" s="26">
        <f t="shared" si="0"/>
        <v>132525.97</v>
      </c>
      <c r="J8" s="26">
        <f t="shared" si="0"/>
        <v>132525.97</v>
      </c>
      <c r="K8" s="21"/>
      <c r="L8" s="3"/>
    </row>
    <row r="9" spans="1:13" ht="24.95" customHeight="1" x14ac:dyDescent="0.2">
      <c r="A9" s="561"/>
      <c r="B9" s="40" t="s">
        <v>13</v>
      </c>
      <c r="C9" s="11" t="s">
        <v>24</v>
      </c>
      <c r="D9" s="2" t="s">
        <v>25</v>
      </c>
      <c r="E9" s="2" t="s">
        <v>16</v>
      </c>
      <c r="F9" s="16">
        <v>642128</v>
      </c>
      <c r="G9" s="117">
        <v>642128</v>
      </c>
      <c r="H9" s="8">
        <v>318961.74</v>
      </c>
      <c r="I9" s="8">
        <v>279889.08</v>
      </c>
      <c r="J9" s="83">
        <v>279889.08</v>
      </c>
      <c r="K9" s="42" t="s">
        <v>26</v>
      </c>
      <c r="L9" s="3"/>
    </row>
    <row r="10" spans="1:13" ht="24.95" customHeight="1" x14ac:dyDescent="0.2">
      <c r="A10" s="561"/>
      <c r="B10" s="569" t="s">
        <v>27</v>
      </c>
      <c r="C10" s="570"/>
      <c r="D10" s="570"/>
      <c r="E10" s="20"/>
      <c r="F10" s="26">
        <f>SUBTOTAL(109,F9)</f>
        <v>642128</v>
      </c>
      <c r="G10" s="26">
        <f t="shared" ref="G10:J10" si="1">SUBTOTAL(109,G9)</f>
        <v>642128</v>
      </c>
      <c r="H10" s="26">
        <f>SUBTOTAL(109,H9)</f>
        <v>318961.74</v>
      </c>
      <c r="I10" s="26">
        <f t="shared" si="1"/>
        <v>279889.08</v>
      </c>
      <c r="J10" s="26">
        <f t="shared" si="1"/>
        <v>279889.08</v>
      </c>
      <c r="K10" s="21"/>
      <c r="L10" s="3"/>
    </row>
    <row r="11" spans="1:13" ht="24.95" customHeight="1" x14ac:dyDescent="0.2">
      <c r="A11" s="561"/>
      <c r="B11" s="40" t="s">
        <v>13</v>
      </c>
      <c r="C11" s="11" t="s">
        <v>28</v>
      </c>
      <c r="D11" s="2" t="s">
        <v>29</v>
      </c>
      <c r="E11" s="2" t="s">
        <v>16</v>
      </c>
      <c r="F11" s="16">
        <v>275980</v>
      </c>
      <c r="G11" s="1">
        <v>275980</v>
      </c>
      <c r="H11" s="8">
        <v>220673</v>
      </c>
      <c r="I11" s="8">
        <v>176534.71</v>
      </c>
      <c r="J11" s="8">
        <v>149203.18</v>
      </c>
      <c r="K11" s="42" t="s">
        <v>30</v>
      </c>
      <c r="L11" s="3"/>
    </row>
    <row r="12" spans="1:13" ht="24.95" customHeight="1" x14ac:dyDescent="0.2">
      <c r="A12" s="561"/>
      <c r="B12" s="569" t="s">
        <v>31</v>
      </c>
      <c r="C12" s="570"/>
      <c r="D12" s="570"/>
      <c r="E12" s="20"/>
      <c r="F12" s="26">
        <f>SUBTOTAL(109,F11)</f>
        <v>275980</v>
      </c>
      <c r="G12" s="26">
        <f t="shared" ref="G12:J12" si="2">SUBTOTAL(109,G11)</f>
        <v>275980</v>
      </c>
      <c r="H12" s="26">
        <f>SUBTOTAL(109,H11)</f>
        <v>220673</v>
      </c>
      <c r="I12" s="26">
        <f t="shared" si="2"/>
        <v>176534.71</v>
      </c>
      <c r="J12" s="26">
        <f t="shared" si="2"/>
        <v>149203.18</v>
      </c>
      <c r="K12" s="21"/>
      <c r="L12" s="3"/>
    </row>
    <row r="13" spans="1:13" ht="24.95" customHeight="1" x14ac:dyDescent="0.2">
      <c r="A13" s="561"/>
      <c r="B13" s="40" t="s">
        <v>13</v>
      </c>
      <c r="C13" s="11" t="s">
        <v>32</v>
      </c>
      <c r="D13" s="568" t="s">
        <v>33</v>
      </c>
      <c r="E13" s="2" t="s">
        <v>16</v>
      </c>
      <c r="F13" s="16">
        <v>1184630</v>
      </c>
      <c r="G13" s="1">
        <v>758630</v>
      </c>
      <c r="H13" s="8">
        <v>522239.82</v>
      </c>
      <c r="I13" s="8">
        <v>343712.07</v>
      </c>
      <c r="J13" s="83">
        <v>343712.07</v>
      </c>
      <c r="K13" s="81"/>
      <c r="L13" s="3"/>
      <c r="M13" s="69"/>
    </row>
    <row r="14" spans="1:13" ht="24.95" customHeight="1" x14ac:dyDescent="0.2">
      <c r="A14" s="561"/>
      <c r="B14" s="40" t="s">
        <v>13</v>
      </c>
      <c r="C14" s="11" t="s">
        <v>32</v>
      </c>
      <c r="D14" s="568"/>
      <c r="E14" s="2" t="s">
        <v>18</v>
      </c>
      <c r="F14" s="16">
        <v>200000</v>
      </c>
      <c r="G14" s="1">
        <v>200000</v>
      </c>
      <c r="H14" s="8"/>
      <c r="I14" s="8"/>
      <c r="J14" s="83"/>
      <c r="K14" s="81"/>
      <c r="L14" s="3"/>
    </row>
    <row r="15" spans="1:13" ht="24.95" customHeight="1" x14ac:dyDescent="0.2">
      <c r="A15" s="561"/>
      <c r="B15" s="569" t="s">
        <v>34</v>
      </c>
      <c r="C15" s="570"/>
      <c r="D15" s="570"/>
      <c r="E15" s="20"/>
      <c r="F15" s="26">
        <f>SUBTOTAL(109,F13:F14)</f>
        <v>1384630</v>
      </c>
      <c r="G15" s="26">
        <f t="shared" ref="G15:J15" si="3">SUBTOTAL(109,G13:G14)</f>
        <v>958630</v>
      </c>
      <c r="H15" s="26">
        <f>SUBTOTAL(109,H13:H14)</f>
        <v>522239.82</v>
      </c>
      <c r="I15" s="26">
        <f t="shared" si="3"/>
        <v>343712.07</v>
      </c>
      <c r="J15" s="26">
        <f t="shared" si="3"/>
        <v>343712.07</v>
      </c>
      <c r="K15" s="21"/>
      <c r="L15" s="3"/>
    </row>
    <row r="16" spans="1:13" ht="24.95" customHeight="1" x14ac:dyDescent="0.2">
      <c r="A16" s="561"/>
      <c r="B16" s="40" t="s">
        <v>13</v>
      </c>
      <c r="C16" s="11" t="s">
        <v>35</v>
      </c>
      <c r="D16" s="2" t="s">
        <v>36</v>
      </c>
      <c r="E16" s="2" t="s">
        <v>16</v>
      </c>
      <c r="F16" s="16">
        <v>0</v>
      </c>
      <c r="G16" s="1"/>
      <c r="H16" s="8"/>
      <c r="I16" s="8"/>
      <c r="J16" s="83"/>
      <c r="K16" s="19" t="s">
        <v>37</v>
      </c>
      <c r="L16" s="3"/>
    </row>
    <row r="17" spans="1:13" ht="24.95" customHeight="1" x14ac:dyDescent="0.2">
      <c r="A17" s="561"/>
      <c r="B17" s="569" t="s">
        <v>38</v>
      </c>
      <c r="C17" s="570"/>
      <c r="D17" s="570"/>
      <c r="E17" s="20"/>
      <c r="F17" s="26">
        <f>SUBTOTAL(109,F16)</f>
        <v>0</v>
      </c>
      <c r="G17" s="26">
        <f t="shared" ref="G17:J17" si="4">SUBTOTAL(109,G16)</f>
        <v>0</v>
      </c>
      <c r="H17" s="26">
        <f>SUBTOTAL(109,H16)</f>
        <v>0</v>
      </c>
      <c r="I17" s="26">
        <f t="shared" si="4"/>
        <v>0</v>
      </c>
      <c r="J17" s="26">
        <f t="shared" si="4"/>
        <v>0</v>
      </c>
      <c r="K17" s="21"/>
      <c r="L17" s="3"/>
    </row>
    <row r="18" spans="1:13" ht="24.95" customHeight="1" x14ac:dyDescent="0.2">
      <c r="A18" s="561"/>
      <c r="B18" s="571" t="s">
        <v>39</v>
      </c>
      <c r="C18" s="572"/>
      <c r="D18" s="572"/>
      <c r="E18" s="23"/>
      <c r="F18" s="25">
        <f>SUBTOTAL(109,F4:F17)</f>
        <v>21719342</v>
      </c>
      <c r="G18" s="25">
        <f>SUBTOTAL(109,G4:G17)</f>
        <v>21293342</v>
      </c>
      <c r="H18" s="25">
        <f>SUBTOTAL(109,H4:H17)</f>
        <v>18828247.080000002</v>
      </c>
      <c r="I18" s="25">
        <f>SUBTOTAL(109,I4:I17)</f>
        <v>11614480.900000002</v>
      </c>
      <c r="J18" s="25">
        <f>SUBTOTAL(109,J4:J17)</f>
        <v>11337643.870000001</v>
      </c>
      <c r="K18" s="24"/>
      <c r="L18" s="3"/>
    </row>
    <row r="19" spans="1:13" ht="24.95" customHeight="1" x14ac:dyDescent="0.2">
      <c r="A19" s="561"/>
      <c r="B19" s="40" t="s">
        <v>40</v>
      </c>
      <c r="C19" s="11" t="s">
        <v>14</v>
      </c>
      <c r="D19" s="2" t="s">
        <v>41</v>
      </c>
      <c r="E19" s="2" t="s">
        <v>42</v>
      </c>
      <c r="F19" s="239">
        <v>1408000</v>
      </c>
      <c r="G19" s="239">
        <v>1408000</v>
      </c>
      <c r="H19" s="240">
        <v>1408000</v>
      </c>
      <c r="I19" s="240">
        <v>839440.91</v>
      </c>
      <c r="J19" s="241">
        <v>759653.77</v>
      </c>
      <c r="K19" s="19"/>
      <c r="L19" s="3"/>
      <c r="M19" s="69"/>
    </row>
    <row r="20" spans="1:13" ht="24.95" customHeight="1" x14ac:dyDescent="0.2">
      <c r="A20" s="561"/>
      <c r="B20" s="571" t="s">
        <v>43</v>
      </c>
      <c r="C20" s="572"/>
      <c r="D20" s="572"/>
      <c r="E20" s="23"/>
      <c r="F20" s="25">
        <f>SUBTOTAL(109,F19)</f>
        <v>1408000</v>
      </c>
      <c r="G20" s="25">
        <f>SUBTOTAL(109,G19)</f>
        <v>1408000</v>
      </c>
      <c r="H20" s="25">
        <f>SUBTOTAL(109,H19)</f>
        <v>1408000</v>
      </c>
      <c r="I20" s="25">
        <f>SUBTOTAL(109,I19)</f>
        <v>839440.91</v>
      </c>
      <c r="J20" s="25">
        <f>SUBTOTAL(109,J19)</f>
        <v>759653.77</v>
      </c>
      <c r="K20" s="24"/>
      <c r="L20" s="3"/>
    </row>
    <row r="21" spans="1:13" ht="24.95" customHeight="1" x14ac:dyDescent="0.2">
      <c r="A21" s="561"/>
      <c r="B21" s="40" t="s">
        <v>44</v>
      </c>
      <c r="C21" s="11" t="s">
        <v>14</v>
      </c>
      <c r="D21" s="2" t="s">
        <v>45</v>
      </c>
      <c r="E21" s="2" t="s">
        <v>16</v>
      </c>
      <c r="F21" s="16">
        <v>454769</v>
      </c>
      <c r="G21" s="8"/>
      <c r="H21" s="8"/>
      <c r="I21" s="8"/>
      <c r="J21" s="83"/>
      <c r="K21" s="22"/>
      <c r="L21" s="3"/>
    </row>
    <row r="22" spans="1:13" ht="24.95" customHeight="1" x14ac:dyDescent="0.2">
      <c r="A22" s="561"/>
      <c r="B22" s="571" t="s">
        <v>46</v>
      </c>
      <c r="C22" s="572"/>
      <c r="D22" s="572"/>
      <c r="E22" s="23"/>
      <c r="F22" s="27">
        <f>SUBTOTAL(109,F21)</f>
        <v>454769</v>
      </c>
      <c r="G22" s="27">
        <f t="shared" ref="G22:J22" si="5">SUBTOTAL(109,G21)</f>
        <v>0</v>
      </c>
      <c r="H22" s="27">
        <f t="shared" si="5"/>
        <v>0</v>
      </c>
      <c r="I22" s="27">
        <f t="shared" si="5"/>
        <v>0</v>
      </c>
      <c r="J22" s="27">
        <f t="shared" si="5"/>
        <v>0</v>
      </c>
      <c r="K22" s="24"/>
      <c r="L22" s="3"/>
    </row>
    <row r="23" spans="1:13" ht="24.95" customHeight="1" x14ac:dyDescent="0.2">
      <c r="A23" s="561"/>
      <c r="B23" s="41" t="s">
        <v>47</v>
      </c>
      <c r="C23" s="29" t="s">
        <v>14</v>
      </c>
      <c r="D23" s="34" t="s">
        <v>48</v>
      </c>
      <c r="E23" s="5" t="s">
        <v>16</v>
      </c>
      <c r="F23" s="30">
        <v>919593</v>
      </c>
      <c r="G23" s="30">
        <v>919593</v>
      </c>
      <c r="H23" s="30">
        <v>919593</v>
      </c>
      <c r="I23" s="30">
        <v>919593</v>
      </c>
      <c r="J23" s="30">
        <v>919593</v>
      </c>
      <c r="K23" s="31"/>
      <c r="L23" s="3"/>
    </row>
    <row r="24" spans="1:13" ht="24.95" customHeight="1" x14ac:dyDescent="0.2">
      <c r="A24" s="561"/>
      <c r="B24" s="573" t="s">
        <v>49</v>
      </c>
      <c r="C24" s="574"/>
      <c r="D24" s="574"/>
      <c r="E24" s="32"/>
      <c r="F24" s="27">
        <f>SUBTOTAL(109,F23)</f>
        <v>919593</v>
      </c>
      <c r="G24" s="27">
        <f t="shared" ref="G24:J24" si="6">SUBTOTAL(109,G23)</f>
        <v>919593</v>
      </c>
      <c r="H24" s="27">
        <f t="shared" si="6"/>
        <v>919593</v>
      </c>
      <c r="I24" s="27">
        <f t="shared" si="6"/>
        <v>919593</v>
      </c>
      <c r="J24" s="27">
        <f t="shared" si="6"/>
        <v>919593</v>
      </c>
      <c r="K24" s="33"/>
      <c r="L24" s="3"/>
    </row>
    <row r="25" spans="1:13" ht="26.25" customHeight="1" x14ac:dyDescent="0.2">
      <c r="A25" s="561"/>
      <c r="B25" s="563" t="s">
        <v>50</v>
      </c>
      <c r="C25" s="564"/>
      <c r="D25" s="564"/>
      <c r="E25" s="564"/>
      <c r="F25" s="85">
        <f>SUBTOTAL(109,F4:F24)</f>
        <v>24501704</v>
      </c>
      <c r="G25" s="85">
        <f t="shared" ref="G25:J25" si="7">SUBTOTAL(109,G4:G24)</f>
        <v>23620935</v>
      </c>
      <c r="H25" s="85">
        <f t="shared" si="7"/>
        <v>21155840.080000002</v>
      </c>
      <c r="I25" s="85">
        <f t="shared" si="7"/>
        <v>13373514.810000002</v>
      </c>
      <c r="J25" s="85">
        <f t="shared" si="7"/>
        <v>13016890.640000001</v>
      </c>
      <c r="K25" s="28"/>
      <c r="M25" s="70"/>
    </row>
    <row r="26" spans="1:13" ht="26.25" customHeight="1" x14ac:dyDescent="0.2">
      <c r="A26" s="562"/>
      <c r="B26" s="565" t="s">
        <v>51</v>
      </c>
      <c r="C26" s="566"/>
      <c r="D26" s="566"/>
      <c r="E26" s="567"/>
      <c r="F26" s="588">
        <f>H25/F25</f>
        <v>0.8634436233496251</v>
      </c>
      <c r="G26" s="589"/>
      <c r="H26" s="589"/>
      <c r="I26" s="589"/>
      <c r="J26" s="590"/>
    </row>
    <row r="29" spans="1:13" ht="26.25" customHeight="1" x14ac:dyDescent="0.4">
      <c r="B29" s="4"/>
    </row>
  </sheetData>
  <mergeCells count="28">
    <mergeCell ref="F26:J26"/>
    <mergeCell ref="F2:F3"/>
    <mergeCell ref="G2:G3"/>
    <mergeCell ref="H2:H3"/>
    <mergeCell ref="I2:I3"/>
    <mergeCell ref="A1:K1"/>
    <mergeCell ref="A2:A3"/>
    <mergeCell ref="B2:B3"/>
    <mergeCell ref="C2:C3"/>
    <mergeCell ref="E2:E3"/>
    <mergeCell ref="K2:K3"/>
    <mergeCell ref="D2:D3"/>
    <mergeCell ref="J2:J3"/>
    <mergeCell ref="A4:A26"/>
    <mergeCell ref="B25:E25"/>
    <mergeCell ref="B26:E26"/>
    <mergeCell ref="D13:D14"/>
    <mergeCell ref="D4:D5"/>
    <mergeCell ref="B6:D6"/>
    <mergeCell ref="B8:D8"/>
    <mergeCell ref="B12:D12"/>
    <mergeCell ref="B15:D15"/>
    <mergeCell ref="B17:D17"/>
    <mergeCell ref="B22:D22"/>
    <mergeCell ref="B24:D24"/>
    <mergeCell ref="B10:D10"/>
    <mergeCell ref="B18:D18"/>
    <mergeCell ref="B20:D2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0B8C-B911-4251-9AA5-0C13D9768C83}">
  <dimension ref="A1:J2"/>
  <sheetViews>
    <sheetView workbookViewId="0">
      <selection activeCell="B2" sqref="B2"/>
    </sheetView>
  </sheetViews>
  <sheetFormatPr defaultRowHeight="15" x14ac:dyDescent="0.25"/>
  <cols>
    <col min="1" max="1" width="20" customWidth="1"/>
    <col min="2" max="2" width="21" customWidth="1"/>
    <col min="3" max="3" width="18.85546875" customWidth="1"/>
    <col min="4" max="4" width="19" customWidth="1"/>
    <col min="5" max="5" width="17.42578125" customWidth="1"/>
    <col min="7" max="7" width="19.5703125" customWidth="1"/>
  </cols>
  <sheetData>
    <row r="1" spans="1:10" s="55" customFormat="1" ht="31.5" customHeight="1" x14ac:dyDescent="0.25">
      <c r="A1" s="400" t="s">
        <v>55</v>
      </c>
      <c r="B1" s="401" t="s">
        <v>56</v>
      </c>
      <c r="C1" s="401" t="s">
        <v>57</v>
      </c>
      <c r="D1" s="402" t="s">
        <v>58</v>
      </c>
      <c r="E1" s="402" t="s">
        <v>59</v>
      </c>
      <c r="F1" s="402"/>
      <c r="G1" s="403" t="s">
        <v>60</v>
      </c>
      <c r="I1" s="366"/>
    </row>
    <row r="2" spans="1:10" s="55" customFormat="1" ht="30" customHeight="1" thickBot="1" x14ac:dyDescent="0.3">
      <c r="A2" s="687">
        <f>72484603+20809690+34248+15853095</f>
        <v>109181636</v>
      </c>
      <c r="B2" s="688">
        <f ca="1">'Consolidado 2026'!C4</f>
        <v>1516590.5999999975</v>
      </c>
      <c r="C2" s="688">
        <f ca="1">'Consolidado 2026'!D4</f>
        <v>100425085.44</v>
      </c>
      <c r="D2" s="689">
        <f ca="1">B2+C2</f>
        <v>101941676.03999999</v>
      </c>
      <c r="E2" s="540">
        <f ca="1">C2/A2</f>
        <v>0.91979832066264333</v>
      </c>
      <c r="F2" s="407"/>
      <c r="G2" s="690">
        <f ca="1">A2-D2</f>
        <v>7239959.9600000083</v>
      </c>
      <c r="I2" s="534"/>
      <c r="J2" s="67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B9A6-4483-43AF-8629-4F22070F90A4}">
  <sheetPr>
    <pageSetUpPr fitToPage="1"/>
  </sheetPr>
  <dimension ref="A1:AC70"/>
  <sheetViews>
    <sheetView tabSelected="1" zoomScaleNormal="100" workbookViewId="0">
      <pane xSplit="6" topLeftCell="G1" activePane="topRight" state="frozen"/>
      <selection pane="topRight" activeCell="J5" sqref="J5"/>
    </sheetView>
  </sheetViews>
  <sheetFormatPr defaultColWidth="9.140625" defaultRowHeight="15" customHeight="1" x14ac:dyDescent="0.25"/>
  <cols>
    <col min="1" max="1" width="48.28515625" style="55" customWidth="1"/>
    <col min="2" max="2" width="19" style="55" customWidth="1"/>
    <col min="3" max="3" width="17.28515625" style="56" customWidth="1"/>
    <col min="4" max="4" width="15.28515625" style="56" bestFit="1" customWidth="1"/>
    <col min="5" max="5" width="15.5703125" style="55" customWidth="1"/>
    <col min="6" max="6" width="14" style="55" customWidth="1"/>
    <col min="7" max="7" width="13" style="55" customWidth="1"/>
    <col min="8" max="9" width="15.85546875" style="55" bestFit="1" customWidth="1"/>
    <col min="10" max="10" width="15.85546875" style="366" bestFit="1" customWidth="1"/>
    <col min="11" max="11" width="13.85546875" style="55" customWidth="1"/>
    <col min="12" max="13" width="14.85546875" style="55" bestFit="1" customWidth="1"/>
    <col min="14" max="14" width="16.42578125" style="55" customWidth="1"/>
    <col min="15" max="15" width="14.7109375" style="55" customWidth="1"/>
    <col min="16" max="16" width="19.42578125" style="55" customWidth="1"/>
    <col min="17" max="17" width="15.28515625" style="55" customWidth="1"/>
    <col min="18" max="18" width="11.28515625" style="48" customWidth="1"/>
    <col min="19" max="19" width="11" style="55" customWidth="1"/>
    <col min="20" max="20" width="9.140625" style="55" customWidth="1"/>
    <col min="21" max="21" width="17.42578125" style="55" hidden="1" customWidth="1"/>
    <col min="22" max="22" width="16.140625" style="55" hidden="1" customWidth="1"/>
    <col min="23" max="23" width="19.5703125" style="55" hidden="1" customWidth="1"/>
    <col min="24" max="24" width="20.5703125" style="55" hidden="1" customWidth="1"/>
    <col min="25" max="25" width="16.42578125" style="55" hidden="1" customWidth="1"/>
    <col min="26" max="26" width="9.140625" style="55" hidden="1" customWidth="1"/>
    <col min="27" max="27" width="20.28515625" style="55" customWidth="1"/>
    <col min="28" max="16384" width="9.140625" style="55"/>
  </cols>
  <sheetData>
    <row r="1" spans="1:27" ht="25.5" customHeight="1" thickBot="1" x14ac:dyDescent="0.3">
      <c r="A1" s="593" t="s">
        <v>52</v>
      </c>
      <c r="B1" s="594"/>
      <c r="C1" s="594"/>
      <c r="D1" s="594"/>
      <c r="E1" s="594"/>
      <c r="F1" s="594"/>
      <c r="G1" s="594"/>
      <c r="H1" s="595"/>
      <c r="R1" s="55"/>
    </row>
    <row r="2" spans="1:27" ht="15" customHeight="1" x14ac:dyDescent="0.25">
      <c r="A2" s="599" t="s">
        <v>53</v>
      </c>
      <c r="B2" s="596" t="s">
        <v>54</v>
      </c>
      <c r="C2" s="597"/>
      <c r="D2" s="597"/>
      <c r="E2" s="597"/>
      <c r="F2" s="597"/>
      <c r="G2" s="597"/>
      <c r="H2" s="598"/>
      <c r="R2" s="55"/>
    </row>
    <row r="3" spans="1:27" ht="31.5" customHeight="1" x14ac:dyDescent="0.25">
      <c r="A3" s="600"/>
      <c r="B3" s="400" t="s">
        <v>55</v>
      </c>
      <c r="C3" s="401" t="s">
        <v>56</v>
      </c>
      <c r="D3" s="401" t="s">
        <v>57</v>
      </c>
      <c r="E3" s="402" t="s">
        <v>58</v>
      </c>
      <c r="F3" s="402" t="s">
        <v>59</v>
      </c>
      <c r="G3" s="402"/>
      <c r="H3" s="403" t="s">
        <v>60</v>
      </c>
      <c r="R3" s="55"/>
    </row>
    <row r="4" spans="1:27" ht="30" customHeight="1" thickBot="1" x14ac:dyDescent="0.3">
      <c r="A4" s="409" t="s">
        <v>61</v>
      </c>
      <c r="B4" s="404">
        <f>72484603+20809690+34248+15853095</f>
        <v>109181636</v>
      </c>
      <c r="C4" s="405">
        <f ca="1">K10</f>
        <v>1516590.5999999975</v>
      </c>
      <c r="D4" s="405">
        <f ca="1">L10</f>
        <v>100425085.44</v>
      </c>
      <c r="E4" s="406">
        <f ca="1">C4+D4</f>
        <v>101941676.03999999</v>
      </c>
      <c r="F4" s="540">
        <f ca="1">D4/B4</f>
        <v>0.91979832066264333</v>
      </c>
      <c r="G4" s="407"/>
      <c r="H4" s="408">
        <f ca="1">B4-E4</f>
        <v>7239959.9600000083</v>
      </c>
      <c r="J4" s="534"/>
      <c r="K4" s="67"/>
      <c r="R4" s="55"/>
    </row>
    <row r="5" spans="1:27" ht="34.5" customHeight="1" thickBot="1" x14ac:dyDescent="0.3">
      <c r="A5" s="601" t="s">
        <v>62</v>
      </c>
      <c r="B5" s="602"/>
      <c r="C5" s="602"/>
      <c r="D5" s="602"/>
      <c r="E5" s="602"/>
      <c r="F5" s="602"/>
      <c r="G5" s="602"/>
      <c r="H5" s="603"/>
      <c r="R5" s="55"/>
    </row>
    <row r="7" spans="1:27" ht="14.45" customHeight="1" x14ac:dyDescent="0.25">
      <c r="A7" s="604"/>
      <c r="B7" s="604"/>
      <c r="C7" s="604"/>
      <c r="D7" s="604"/>
      <c r="E7" s="604"/>
      <c r="F7" s="604"/>
      <c r="G7" s="604"/>
      <c r="H7" s="604"/>
      <c r="I7" s="604"/>
      <c r="J7" s="358"/>
      <c r="K7" s="242"/>
      <c r="L7" s="605" t="s">
        <v>63</v>
      </c>
      <c r="M7" s="605"/>
      <c r="N7" s="605"/>
      <c r="O7" s="605"/>
      <c r="P7" s="605"/>
      <c r="Q7" s="605"/>
      <c r="R7" s="605"/>
      <c r="S7" s="605"/>
      <c r="U7" s="55" t="s">
        <v>64</v>
      </c>
      <c r="V7" s="55" t="s">
        <v>65</v>
      </c>
      <c r="W7" s="55" t="s">
        <v>66</v>
      </c>
      <c r="X7" s="55" t="s">
        <v>67</v>
      </c>
      <c r="Y7" s="55" t="s">
        <v>68</v>
      </c>
      <c r="Z7" s="55" t="s">
        <v>69</v>
      </c>
    </row>
    <row r="8" spans="1:27" s="17" customFormat="1" ht="81.75" customHeight="1" x14ac:dyDescent="0.25">
      <c r="A8" s="176" t="s">
        <v>70</v>
      </c>
      <c r="B8" s="176" t="s">
        <v>71</v>
      </c>
      <c r="C8" s="177" t="s">
        <v>72</v>
      </c>
      <c r="D8" s="177" t="s">
        <v>73</v>
      </c>
      <c r="E8" s="176" t="s">
        <v>74</v>
      </c>
      <c r="F8" s="178" t="s">
        <v>75</v>
      </c>
      <c r="G8" s="178" t="s">
        <v>76</v>
      </c>
      <c r="H8" s="178" t="s">
        <v>77</v>
      </c>
      <c r="I8" s="176" t="s">
        <v>78</v>
      </c>
      <c r="J8" s="359" t="s">
        <v>79</v>
      </c>
      <c r="K8" s="176" t="s">
        <v>80</v>
      </c>
      <c r="L8" s="176" t="s">
        <v>81</v>
      </c>
      <c r="M8" s="176" t="s">
        <v>82</v>
      </c>
      <c r="N8" s="223" t="s">
        <v>83</v>
      </c>
      <c r="O8" s="223" t="s">
        <v>84</v>
      </c>
      <c r="P8" s="222" t="s">
        <v>85</v>
      </c>
      <c r="Q8" s="222" t="s">
        <v>86</v>
      </c>
      <c r="R8" s="222" t="s">
        <v>87</v>
      </c>
      <c r="S8" s="222" t="s">
        <v>88</v>
      </c>
      <c r="W8" s="17" t="s">
        <v>89</v>
      </c>
      <c r="X8" s="17" t="s">
        <v>90</v>
      </c>
      <c r="Y8" s="17" t="s">
        <v>91</v>
      </c>
      <c r="Z8" s="17" t="s">
        <v>92</v>
      </c>
    </row>
    <row r="9" spans="1:27" ht="5.25" customHeight="1" x14ac:dyDescent="0.25">
      <c r="A9" s="181"/>
      <c r="B9" s="181"/>
      <c r="C9" s="182"/>
      <c r="D9" s="182"/>
      <c r="E9" s="181"/>
      <c r="F9" s="181"/>
      <c r="G9" s="181"/>
      <c r="H9" s="181"/>
      <c r="I9" s="181"/>
      <c r="J9" s="360"/>
      <c r="K9" s="181"/>
      <c r="L9" s="181"/>
      <c r="M9" s="181"/>
      <c r="N9" s="181"/>
      <c r="O9" s="181"/>
      <c r="P9" s="181"/>
      <c r="R9" s="55"/>
    </row>
    <row r="10" spans="1:27" ht="32.25" customHeight="1" x14ac:dyDescent="0.25">
      <c r="A10" s="179" t="s">
        <v>93</v>
      </c>
      <c r="B10" s="179"/>
      <c r="C10" s="180">
        <f>SUBTOTAL(109,C12:C58)</f>
        <v>170823603</v>
      </c>
      <c r="D10" s="180">
        <f>SUBTOTAL(109,D12:D58)</f>
        <v>158737644</v>
      </c>
      <c r="E10" s="180">
        <f>SUBTOTAL(109,E12:E58)</f>
        <v>158801726</v>
      </c>
      <c r="F10" s="487">
        <f>SUBTOTAL(109,F12:F58)</f>
        <v>29876127</v>
      </c>
      <c r="G10" s="180">
        <f t="shared" ref="G10:N10" si="0">SUBTOTAL(109,G12:G58)</f>
        <v>0</v>
      </c>
      <c r="H10" s="180">
        <f t="shared" si="0"/>
        <v>128925599</v>
      </c>
      <c r="I10" s="180">
        <f t="shared" ca="1" si="0"/>
        <v>130140187.56</v>
      </c>
      <c r="J10" s="361">
        <f>SUBTOTAL(109,J12:J58)</f>
        <v>101941676.04000001</v>
      </c>
      <c r="K10" s="180">
        <f ca="1">SUBTOTAL(109,K12:K58)</f>
        <v>1516590.5999999975</v>
      </c>
      <c r="L10" s="180">
        <f ca="1">SUBTOTAL(109,L12:L58)</f>
        <v>100425085.44</v>
      </c>
      <c r="M10" s="180">
        <f ca="1">SUBTOTAL(109,M12:M58)</f>
        <v>75866947.929999977</v>
      </c>
      <c r="N10" s="208">
        <f t="shared" ca="1" si="0"/>
        <v>70772749.379999995</v>
      </c>
      <c r="O10" s="208">
        <f ca="1">SUBTOTAL(109,O12:O58)</f>
        <v>26983922.960000008</v>
      </c>
      <c r="P10" s="206">
        <f ca="1">I10/H10</f>
        <v>1.0094208486865359</v>
      </c>
      <c r="Q10" s="207">
        <f ca="1">L10/H10</f>
        <v>0.77893828858611702</v>
      </c>
      <c r="R10" s="207">
        <f ca="1">M10/H10</f>
        <v>0.5884552681426749</v>
      </c>
      <c r="S10" s="207">
        <f ca="1">N10/H10</f>
        <v>0.54894256787591111</v>
      </c>
      <c r="T10" s="67"/>
    </row>
    <row r="11" spans="1:27" ht="4.5" customHeight="1" x14ac:dyDescent="0.25">
      <c r="A11" s="181"/>
      <c r="B11" s="181"/>
      <c r="C11" s="182"/>
      <c r="D11" s="182"/>
      <c r="E11" s="194"/>
      <c r="F11" s="194"/>
      <c r="G11" s="194"/>
      <c r="H11" s="194"/>
      <c r="I11" s="194"/>
      <c r="J11" s="362"/>
      <c r="K11" s="194"/>
      <c r="L11" s="194"/>
      <c r="M11" s="194"/>
      <c r="N11" s="194"/>
      <c r="O11" s="194"/>
      <c r="P11" s="195"/>
      <c r="Q11" s="87"/>
      <c r="R11" s="243"/>
      <c r="S11" s="87"/>
    </row>
    <row r="12" spans="1:27" ht="29.25" customHeight="1" x14ac:dyDescent="0.25">
      <c r="A12" s="158" t="s">
        <v>94</v>
      </c>
      <c r="B12" s="158"/>
      <c r="C12" s="183">
        <f t="shared" ref="C12:I12" si="1">SUBTOTAL(109,C13:C20)</f>
        <v>42164656</v>
      </c>
      <c r="D12" s="183">
        <f t="shared" si="1"/>
        <v>39175588</v>
      </c>
      <c r="E12" s="183">
        <f t="shared" si="1"/>
        <v>39175588</v>
      </c>
      <c r="F12" s="183">
        <f t="shared" si="1"/>
        <v>7660000</v>
      </c>
      <c r="G12" s="183">
        <f t="shared" si="1"/>
        <v>0</v>
      </c>
      <c r="H12" s="183">
        <f t="shared" si="1"/>
        <v>31515588</v>
      </c>
      <c r="I12" s="183">
        <f t="shared" ca="1" si="1"/>
        <v>31176620.5</v>
      </c>
      <c r="J12" s="363">
        <f>SUBTOTAL(109,J13:J19)</f>
        <v>22587910.34</v>
      </c>
      <c r="K12" s="183">
        <f ca="1">SUBTOTAL(109,K13:K19)</f>
        <v>137620.2799999998</v>
      </c>
      <c r="L12" s="183">
        <f ca="1">SUBTOTAL(109,L13:L20)</f>
        <v>23971440.059999999</v>
      </c>
      <c r="M12" s="183">
        <f ca="1">SUBTOTAL(109,M13:M20)</f>
        <v>19285180.140000001</v>
      </c>
      <c r="N12" s="183">
        <f ca="1">SUBTOTAL(109,N13:N20)</f>
        <v>18345218.82</v>
      </c>
      <c r="O12" s="183">
        <f ca="1">SUBTOTAL(109,O13:O20)</f>
        <v>7406527.6600000011</v>
      </c>
      <c r="P12" s="212">
        <f t="shared" ref="P12:P29" ca="1" si="2">I12/H12</f>
        <v>0.98924444944514445</v>
      </c>
      <c r="Q12" s="213">
        <f ca="1">L12/H12</f>
        <v>0.76062169806255875</v>
      </c>
      <c r="R12" s="213">
        <f ca="1">M12/H12</f>
        <v>0.61192512543316657</v>
      </c>
      <c r="S12" s="214">
        <f ca="1">N12/H12</f>
        <v>0.5820998427825621</v>
      </c>
    </row>
    <row r="13" spans="1:27" ht="44.25" customHeight="1" x14ac:dyDescent="0.25">
      <c r="A13" s="185" t="s">
        <v>95</v>
      </c>
      <c r="B13" s="196"/>
      <c r="C13" s="187">
        <f>SUBTOTAL(109,C14:C16)</f>
        <v>26656612</v>
      </c>
      <c r="D13" s="187">
        <f>SUBTOTAL(109,D14:D16)</f>
        <v>24703694</v>
      </c>
      <c r="E13" s="187">
        <f>SUBTOTAL(109,E14:E16)</f>
        <v>28703694</v>
      </c>
      <c r="F13" s="187">
        <f>SUBTOTAL(109,F14:F16)</f>
        <v>3572084</v>
      </c>
      <c r="G13" s="187">
        <f t="shared" ref="G13:N13" si="3">SUBTOTAL(109,G14:G16)</f>
        <v>0</v>
      </c>
      <c r="H13" s="187">
        <f>SUBTOTAL(109,H14:H16)</f>
        <v>25131610</v>
      </c>
      <c r="I13" s="187">
        <f t="shared" ca="1" si="3"/>
        <v>24802643</v>
      </c>
      <c r="J13" s="364">
        <f t="shared" si="3"/>
        <v>20837910.34</v>
      </c>
      <c r="K13" s="187">
        <f t="shared" ca="1" si="3"/>
        <v>137620.2799999998</v>
      </c>
      <c r="L13" s="187">
        <f t="shared" ca="1" si="3"/>
        <v>20700290.059999999</v>
      </c>
      <c r="M13" s="187">
        <f t="shared" ca="1" si="3"/>
        <v>17514013.870000001</v>
      </c>
      <c r="N13" s="209">
        <f t="shared" ca="1" si="3"/>
        <v>16574052.549999999</v>
      </c>
      <c r="O13" s="209">
        <f ca="1">SUBTOTAL(109,O14:O16)</f>
        <v>4293699.6600000011</v>
      </c>
      <c r="P13" s="215">
        <f t="shared" ca="1" si="2"/>
        <v>0.98691022978631293</v>
      </c>
      <c r="Q13" s="188">
        <f t="shared" ref="Q13:Q58" ca="1" si="4">L13/H13</f>
        <v>0.82367544538531345</v>
      </c>
      <c r="R13" s="188">
        <f t="shared" ref="R13:R58" ca="1" si="5">M13/H13</f>
        <v>0.69689183741113292</v>
      </c>
      <c r="S13" s="216">
        <f t="shared" ref="S13:S58" ca="1" si="6">N13/H13</f>
        <v>0.65949028136279364</v>
      </c>
    </row>
    <row r="14" spans="1:27" ht="30" customHeight="1" x14ac:dyDescent="0.25">
      <c r="A14" s="189" t="s">
        <v>96</v>
      </c>
      <c r="B14" s="164" t="s">
        <v>16</v>
      </c>
      <c r="C14" s="190">
        <v>1500000</v>
      </c>
      <c r="D14" s="190">
        <v>1390108</v>
      </c>
      <c r="E14" s="190">
        <v>560000</v>
      </c>
      <c r="F14" s="190">
        <v>0</v>
      </c>
      <c r="G14" s="191"/>
      <c r="H14" s="191">
        <f>E14-G14-F14</f>
        <v>560000</v>
      </c>
      <c r="I14" s="191">
        <f ca="1">SUMIFS(INDIRECT($U14 &amp; W$8),INDIRECT($U14 &amp; "B3:B200"),$V14,INDIRECT($U14 &amp; "D3:D200"),$B14)</f>
        <v>560000</v>
      </c>
      <c r="J14" s="244">
        <v>560000</v>
      </c>
      <c r="K14" s="190"/>
      <c r="L14" s="191">
        <f t="shared" ref="L14:N16" ca="1" si="7">SUMIFS(INDIRECT($U14 &amp; X$8),INDIRECT($U14 &amp; "B3:B200"),$V14,INDIRECT($U14 &amp; "D3:D200"),$B14)</f>
        <v>560000</v>
      </c>
      <c r="M14" s="191">
        <f t="shared" ca="1" si="7"/>
        <v>304630.96000000002</v>
      </c>
      <c r="N14" s="210">
        <f t="shared" ca="1" si="7"/>
        <v>304630.96000000002</v>
      </c>
      <c r="O14" s="224">
        <f ca="1">H14-K14-L14</f>
        <v>0</v>
      </c>
      <c r="P14" s="217">
        <f t="shared" ca="1" si="2"/>
        <v>1</v>
      </c>
      <c r="Q14" s="217">
        <f ca="1">L14/H14</f>
        <v>1</v>
      </c>
      <c r="R14" s="217">
        <f ca="1">M14/H14</f>
        <v>0.54398385714285713</v>
      </c>
      <c r="S14" s="217">
        <f ca="1">N14/H14</f>
        <v>0.54398385714285713</v>
      </c>
      <c r="U14" s="157" t="s">
        <v>97</v>
      </c>
      <c r="V14" s="17" t="str">
        <f>IF(A14="",LEFT(A13,4),LEFT(A14,4))</f>
        <v>0000</v>
      </c>
      <c r="AA14" s="67"/>
    </row>
    <row r="15" spans="1:27" ht="27" customHeight="1" x14ac:dyDescent="0.25">
      <c r="A15" s="189" t="s">
        <v>98</v>
      </c>
      <c r="B15" s="164" t="s">
        <v>16</v>
      </c>
      <c r="C15" s="190">
        <v>12578306</v>
      </c>
      <c r="D15" s="190">
        <v>11656793</v>
      </c>
      <c r="E15" s="190">
        <v>8522424</v>
      </c>
      <c r="F15" s="190">
        <v>2960000</v>
      </c>
      <c r="G15" s="191"/>
      <c r="H15" s="191">
        <f>E15-G15-F15</f>
        <v>5562424</v>
      </c>
      <c r="I15" s="244">
        <f ca="1">SUMIFS(INDIRECT($U15 &amp; W$8),INDIRECT($U15 &amp; "B3:B200"),$V15,INDIRECT($U15 &amp; "D3:D200"),$B15)</f>
        <v>5562423.9100000001</v>
      </c>
      <c r="J15" s="244">
        <v>1661216.41</v>
      </c>
      <c r="K15" s="190">
        <f ca="1">J15-L15</f>
        <v>51145.439999999944</v>
      </c>
      <c r="L15" s="191">
        <f t="shared" ca="1" si="7"/>
        <v>1610070.97</v>
      </c>
      <c r="M15" s="191">
        <f t="shared" ca="1" si="7"/>
        <v>651016.41</v>
      </c>
      <c r="N15" s="210">
        <f t="shared" ca="1" si="7"/>
        <v>456115.81000000006</v>
      </c>
      <c r="O15" s="224">
        <f ca="1">H15-K15-L15</f>
        <v>3901207.5900000008</v>
      </c>
      <c r="P15" s="217">
        <f t="shared" ca="1" si="2"/>
        <v>0.99999998382000366</v>
      </c>
      <c r="Q15" s="192">
        <f t="shared" ca="1" si="4"/>
        <v>0.28945491569862347</v>
      </c>
      <c r="R15" s="192">
        <f t="shared" ca="1" si="5"/>
        <v>0.11703825706202908</v>
      </c>
      <c r="S15" s="218">
        <f t="shared" ca="1" si="6"/>
        <v>8.1999468217453408E-2</v>
      </c>
      <c r="U15" s="157" t="s">
        <v>97</v>
      </c>
      <c r="V15" s="17" t="str">
        <f t="shared" ref="V15" si="8">IF(A15="",LEFT(A14,4),LEFT(A15,4))</f>
        <v>0001</v>
      </c>
      <c r="AA15" s="67"/>
    </row>
    <row r="16" spans="1:27" ht="45" x14ac:dyDescent="0.25">
      <c r="A16" s="189" t="s">
        <v>99</v>
      </c>
      <c r="B16" s="164" t="s">
        <v>16</v>
      </c>
      <c r="C16" s="190">
        <v>12578306</v>
      </c>
      <c r="D16" s="190">
        <v>11656793</v>
      </c>
      <c r="E16" s="190">
        <v>19621270</v>
      </c>
      <c r="F16" s="190">
        <v>612084</v>
      </c>
      <c r="G16" s="191"/>
      <c r="H16" s="191">
        <f>E16-G16-F16</f>
        <v>19009186</v>
      </c>
      <c r="I16" s="392">
        <f ca="1">SUMIFS(INDIRECT($U16 &amp; W$8),INDIRECT($U16 &amp; "B3:B200"),$V16,INDIRECT($U16 &amp; "D3:D200"),$B16)</f>
        <v>18680219.09</v>
      </c>
      <c r="J16" s="244">
        <v>18616693.93</v>
      </c>
      <c r="K16" s="190">
        <f ca="1">J16-L16</f>
        <v>86474.839999999851</v>
      </c>
      <c r="L16" s="191">
        <f ca="1">SUMIFS(INDIRECT($U16 &amp; X$8),INDIRECT($U16 &amp; "B3:B200"),$V16,INDIRECT($U16 &amp; "D3:D200"),$B16)</f>
        <v>18530219.09</v>
      </c>
      <c r="M16" s="191">
        <f t="shared" ca="1" si="7"/>
        <v>16558366.5</v>
      </c>
      <c r="N16" s="210">
        <f t="shared" ca="1" si="7"/>
        <v>15813305.779999999</v>
      </c>
      <c r="O16" s="224">
        <f ca="1">H16-K16-L16</f>
        <v>392492.0700000003</v>
      </c>
      <c r="P16" s="217">
        <f t="shared" ca="1" si="2"/>
        <v>0.98269431894663983</v>
      </c>
      <c r="Q16" s="219">
        <f ca="1">L16/H16</f>
        <v>0.9748033971575637</v>
      </c>
      <c r="R16" s="219">
        <f ca="1">M16/H16</f>
        <v>0.87107183337571636</v>
      </c>
      <c r="S16" s="220">
        <f ca="1">N16/H16</f>
        <v>0.83187706091149827</v>
      </c>
      <c r="U16" s="157" t="s">
        <v>97</v>
      </c>
      <c r="V16" s="17" t="str">
        <f>IF(A16="",LEFT(#REF!,4),LEFT(A16,4))</f>
        <v>0002</v>
      </c>
      <c r="AA16" s="67"/>
    </row>
    <row r="17" spans="1:27" ht="30" x14ac:dyDescent="0.25">
      <c r="A17" s="185" t="s">
        <v>100</v>
      </c>
      <c r="B17" s="196"/>
      <c r="C17" s="187">
        <f t="shared" ref="C17:I17" si="9">SUBTOTAL(109,C18:C20)</f>
        <v>15508044</v>
      </c>
      <c r="D17" s="187">
        <f t="shared" si="9"/>
        <v>14471894</v>
      </c>
      <c r="E17" s="187">
        <f t="shared" si="9"/>
        <v>10471894</v>
      </c>
      <c r="F17" s="187">
        <f t="shared" si="9"/>
        <v>4087916</v>
      </c>
      <c r="G17" s="187">
        <f t="shared" si="9"/>
        <v>0</v>
      </c>
      <c r="H17" s="187">
        <f t="shared" si="9"/>
        <v>6383978</v>
      </c>
      <c r="I17" s="187">
        <f t="shared" ca="1" si="9"/>
        <v>6373977.5</v>
      </c>
      <c r="J17" s="364">
        <f t="shared" ref="J17:O17" si="10">SUBTOTAL(109,J18:J20)</f>
        <v>3271150</v>
      </c>
      <c r="K17" s="187">
        <f t="shared" ca="1" si="10"/>
        <v>0</v>
      </c>
      <c r="L17" s="187">
        <f t="shared" ca="1" si="10"/>
        <v>3271150</v>
      </c>
      <c r="M17" s="187">
        <f t="shared" ca="1" si="10"/>
        <v>1771166.27</v>
      </c>
      <c r="N17" s="187">
        <f t="shared" ca="1" si="10"/>
        <v>1771166.27</v>
      </c>
      <c r="O17" s="187">
        <f t="shared" ca="1" si="10"/>
        <v>3112828</v>
      </c>
      <c r="P17" s="221">
        <f t="shared" ca="1" si="2"/>
        <v>0.99843350024075894</v>
      </c>
      <c r="Q17" s="221">
        <f t="shared" ca="1" si="4"/>
        <v>0.51239994874669059</v>
      </c>
      <c r="R17" s="221">
        <f t="shared" ca="1" si="5"/>
        <v>0.277439281589003</v>
      </c>
      <c r="S17" s="221">
        <f t="shared" ca="1" si="6"/>
        <v>0.277439281589003</v>
      </c>
      <c r="V17" s="67"/>
      <c r="AA17" s="67"/>
    </row>
    <row r="18" spans="1:27" ht="45" x14ac:dyDescent="0.25">
      <c r="A18" s="189" t="s">
        <v>101</v>
      </c>
      <c r="B18" s="197" t="s">
        <v>16</v>
      </c>
      <c r="C18" s="190">
        <v>1500000</v>
      </c>
      <c r="D18" s="190">
        <v>1403142</v>
      </c>
      <c r="E18" s="190">
        <v>480000</v>
      </c>
      <c r="F18" s="190">
        <v>0</v>
      </c>
      <c r="G18" s="191"/>
      <c r="H18" s="191">
        <f>E18-G18-F18</f>
        <v>480000</v>
      </c>
      <c r="I18" s="191">
        <f ca="1">SUMIFS(INDIRECT($U18 &amp; W$8),INDIRECT($U18 &amp; "B3:B200"),$V18,INDIRECT($U18 &amp; "D3:D200"),$B18)</f>
        <v>480000</v>
      </c>
      <c r="J18" s="244">
        <v>480000</v>
      </c>
      <c r="K18" s="190">
        <f ca="1">J18-L18</f>
        <v>0</v>
      </c>
      <c r="L18" s="191">
        <f t="shared" ref="L18:N20" ca="1" si="11">SUMIFS(INDIRECT($U18 &amp; X$8),INDIRECT($U18 &amp; "B3:B200"),$V18,INDIRECT($U18 &amp; "D3:D200"),$B18)</f>
        <v>480000</v>
      </c>
      <c r="M18" s="191">
        <f t="shared" ca="1" si="11"/>
        <v>250016.27</v>
      </c>
      <c r="N18" s="210">
        <f t="shared" ca="1" si="11"/>
        <v>250016.27</v>
      </c>
      <c r="O18" s="224">
        <f ca="1">H18-K18-L18</f>
        <v>0</v>
      </c>
      <c r="P18" s="217">
        <f t="shared" ca="1" si="2"/>
        <v>1</v>
      </c>
      <c r="Q18" s="217">
        <f ca="1">L18/H18</f>
        <v>1</v>
      </c>
      <c r="R18" s="192">
        <f ca="1">M18/H18</f>
        <v>0.52086722916666661</v>
      </c>
      <c r="S18" s="192">
        <f ca="1">N18/H18</f>
        <v>0.52086722916666661</v>
      </c>
      <c r="U18" s="157" t="s">
        <v>102</v>
      </c>
      <c r="V18" s="17" t="str">
        <f t="shared" ref="V18:V19" si="12">IF(A18="",LEFT(A17,4),LEFT(A18,4))</f>
        <v>0000</v>
      </c>
      <c r="AA18" s="67"/>
    </row>
    <row r="19" spans="1:27" ht="30" x14ac:dyDescent="0.25">
      <c r="A19" s="189" t="s">
        <v>103</v>
      </c>
      <c r="B19" s="197" t="s">
        <v>16</v>
      </c>
      <c r="C19" s="190">
        <v>12382044</v>
      </c>
      <c r="D19" s="190">
        <v>11547747</v>
      </c>
      <c r="E19" s="190">
        <v>8470744</v>
      </c>
      <c r="F19" s="190">
        <v>4087916</v>
      </c>
      <c r="G19" s="191"/>
      <c r="H19" s="191">
        <f>E19-G19-F19</f>
        <v>4382828</v>
      </c>
      <c r="I19" s="244">
        <f ca="1">SUMIFS(INDIRECT($U19 &amp; W$8),INDIRECT($U19 &amp; "B3:B200"),$V19,INDIRECT($U19 &amp; "D3:D200"),$B19)</f>
        <v>4372827.5</v>
      </c>
      <c r="J19" s="244">
        <v>1270000</v>
      </c>
      <c r="K19" s="190">
        <f t="shared" ref="K19" ca="1" si="13">J19-L19</f>
        <v>0</v>
      </c>
      <c r="L19" s="191">
        <f t="shared" ca="1" si="11"/>
        <v>1270000</v>
      </c>
      <c r="M19" s="191">
        <f t="shared" ca="1" si="11"/>
        <v>0</v>
      </c>
      <c r="N19" s="210">
        <f t="shared" ca="1" si="11"/>
        <v>0</v>
      </c>
      <c r="O19" s="224">
        <f ca="1">H19-K19-L19</f>
        <v>3112828</v>
      </c>
      <c r="P19" s="217">
        <f t="shared" ca="1" si="2"/>
        <v>0.99771825405879488</v>
      </c>
      <c r="Q19" s="192">
        <f ca="1">L19/H19</f>
        <v>0.28976724617073724</v>
      </c>
      <c r="R19" s="192">
        <f ca="1">M19/H19</f>
        <v>0</v>
      </c>
      <c r="S19" s="192">
        <f ca="1">N19/H19</f>
        <v>0</v>
      </c>
      <c r="U19" s="157" t="s">
        <v>102</v>
      </c>
      <c r="V19" s="17" t="str">
        <f t="shared" si="12"/>
        <v>0001</v>
      </c>
      <c r="AA19" s="67"/>
    </row>
    <row r="20" spans="1:27" ht="45" x14ac:dyDescent="0.25">
      <c r="A20" s="189" t="s">
        <v>104</v>
      </c>
      <c r="B20" s="197" t="s">
        <v>16</v>
      </c>
      <c r="C20" s="190">
        <v>1626000</v>
      </c>
      <c r="D20" s="190">
        <v>1521005</v>
      </c>
      <c r="E20" s="190">
        <v>1521150</v>
      </c>
      <c r="F20" s="190">
        <v>0</v>
      </c>
      <c r="G20" s="191"/>
      <c r="H20" s="191">
        <f>E20-G20-F20</f>
        <v>1521150</v>
      </c>
      <c r="I20" s="244">
        <f ca="1">SUMIFS(INDIRECT($U20 &amp; W$8),INDIRECT($U20 &amp; "B3:B200"),$V20,INDIRECT($U20 &amp; "D3:D200"),$B20)</f>
        <v>1521150</v>
      </c>
      <c r="J20" s="244">
        <v>1521150</v>
      </c>
      <c r="K20" s="190">
        <f ca="1">J20-L20</f>
        <v>0</v>
      </c>
      <c r="L20" s="191">
        <f t="shared" ca="1" si="11"/>
        <v>1521150</v>
      </c>
      <c r="M20" s="191">
        <f t="shared" ca="1" si="11"/>
        <v>1521150</v>
      </c>
      <c r="N20" s="210">
        <f t="shared" ca="1" si="11"/>
        <v>1521150</v>
      </c>
      <c r="O20" s="224">
        <f ca="1">H20-K20-L20</f>
        <v>0</v>
      </c>
      <c r="P20" s="217">
        <f t="shared" ca="1" si="2"/>
        <v>1</v>
      </c>
      <c r="Q20" s="192">
        <f ca="1">L20/H20</f>
        <v>1</v>
      </c>
      <c r="R20" s="192">
        <f ca="1">M20/H20</f>
        <v>1</v>
      </c>
      <c r="S20" s="192">
        <f ca="1">N20/H20</f>
        <v>1</v>
      </c>
      <c r="U20" s="157" t="s">
        <v>102</v>
      </c>
      <c r="V20" s="17" t="str">
        <f t="shared" ref="V20" si="14">IF(A20="",LEFT(A19,4),LEFT(A20,4))</f>
        <v>0002</v>
      </c>
      <c r="AA20" s="67"/>
    </row>
    <row r="21" spans="1:27" ht="25.5" customHeight="1" x14ac:dyDescent="0.25">
      <c r="A21" s="158" t="s">
        <v>105</v>
      </c>
      <c r="B21" s="198"/>
      <c r="C21" s="183">
        <f>SUBTOTAL(109,C22:C24)</f>
        <v>1000000</v>
      </c>
      <c r="D21" s="183">
        <f>SUBTOTAL(109,D22:D24)</f>
        <v>926737</v>
      </c>
      <c r="E21" s="183">
        <f t="shared" ref="E21:N21" si="15">SUBTOTAL(109,E22:E24)</f>
        <v>926737</v>
      </c>
      <c r="F21" s="183">
        <f>SUBTOTAL(109,F22:F24)</f>
        <v>643937</v>
      </c>
      <c r="G21" s="183">
        <f t="shared" si="15"/>
        <v>0</v>
      </c>
      <c r="H21" s="183">
        <f>SUBTOTAL(109,H22:H24)</f>
        <v>282800</v>
      </c>
      <c r="I21" s="183">
        <f ca="1">SUBTOTAL(109,I22:I24)</f>
        <v>0</v>
      </c>
      <c r="J21" s="363">
        <f t="shared" si="15"/>
        <v>0</v>
      </c>
      <c r="K21" s="183">
        <f t="shared" ca="1" si="15"/>
        <v>0</v>
      </c>
      <c r="L21" s="183">
        <f t="shared" ca="1" si="15"/>
        <v>0</v>
      </c>
      <c r="M21" s="183">
        <f t="shared" ca="1" si="15"/>
        <v>0</v>
      </c>
      <c r="N21" s="183">
        <f t="shared" ca="1" si="15"/>
        <v>0</v>
      </c>
      <c r="O21" s="183">
        <f ca="1">SUBTOTAL(109,O22:O24)</f>
        <v>282800</v>
      </c>
      <c r="P21" s="184">
        <f t="shared" ca="1" si="2"/>
        <v>0</v>
      </c>
      <c r="Q21" s="184">
        <f t="shared" ca="1" si="4"/>
        <v>0</v>
      </c>
      <c r="R21" s="184">
        <f t="shared" ca="1" si="5"/>
        <v>0</v>
      </c>
      <c r="S21" s="184">
        <f t="shared" ca="1" si="6"/>
        <v>0</v>
      </c>
      <c r="V21" s="67"/>
      <c r="AA21" s="67"/>
    </row>
    <row r="22" spans="1:27" ht="30" x14ac:dyDescent="0.25">
      <c r="A22" s="185" t="s">
        <v>95</v>
      </c>
      <c r="B22" s="196"/>
      <c r="C22" s="187">
        <f>SUBTOTAL(109,C24)</f>
        <v>1000000</v>
      </c>
      <c r="D22" s="187">
        <f>SUBTOTAL(109,D24)</f>
        <v>926737</v>
      </c>
      <c r="E22" s="187">
        <f t="shared" ref="E22:O22" si="16">SUBTOTAL(109,E24)</f>
        <v>926737</v>
      </c>
      <c r="F22" s="187">
        <f>SUBTOTAL(109,F24)</f>
        <v>643937</v>
      </c>
      <c r="G22" s="187">
        <f t="shared" si="16"/>
        <v>0</v>
      </c>
      <c r="H22" s="187">
        <f t="shared" si="16"/>
        <v>282800</v>
      </c>
      <c r="I22" s="187">
        <f t="shared" ca="1" si="16"/>
        <v>0</v>
      </c>
      <c r="J22" s="364">
        <f t="shared" si="16"/>
        <v>0</v>
      </c>
      <c r="K22" s="187">
        <f t="shared" ca="1" si="16"/>
        <v>0</v>
      </c>
      <c r="L22" s="187">
        <f t="shared" ca="1" si="16"/>
        <v>0</v>
      </c>
      <c r="M22" s="187">
        <f t="shared" ca="1" si="16"/>
        <v>0</v>
      </c>
      <c r="N22" s="187">
        <f t="shared" ca="1" si="16"/>
        <v>0</v>
      </c>
      <c r="O22" s="187">
        <f t="shared" ca="1" si="16"/>
        <v>282800</v>
      </c>
      <c r="P22" s="188">
        <f t="shared" ca="1" si="2"/>
        <v>0</v>
      </c>
      <c r="Q22" s="188">
        <f t="shared" ca="1" si="4"/>
        <v>0</v>
      </c>
      <c r="R22" s="188">
        <f t="shared" ca="1" si="5"/>
        <v>0</v>
      </c>
      <c r="S22" s="188">
        <f t="shared" ca="1" si="6"/>
        <v>0</v>
      </c>
      <c r="V22" s="67"/>
      <c r="AA22" s="67"/>
    </row>
    <row r="23" spans="1:27" x14ac:dyDescent="0.25">
      <c r="A23" s="185"/>
      <c r="B23" s="196"/>
      <c r="C23" s="187"/>
      <c r="D23" s="187"/>
      <c r="E23" s="187"/>
      <c r="F23" s="187"/>
      <c r="G23" s="187"/>
      <c r="H23" s="187"/>
      <c r="I23" s="187"/>
      <c r="J23" s="364"/>
      <c r="K23" s="187"/>
      <c r="L23" s="187"/>
      <c r="M23" s="187"/>
      <c r="N23" s="209"/>
      <c r="O23" s="488"/>
      <c r="P23" s="489"/>
      <c r="Q23" s="188"/>
      <c r="R23" s="188"/>
      <c r="S23" s="188"/>
      <c r="V23" s="67"/>
      <c r="AA23" s="67"/>
    </row>
    <row r="24" spans="1:27" ht="30" x14ac:dyDescent="0.25">
      <c r="A24" s="189" t="s">
        <v>106</v>
      </c>
      <c r="B24" s="197" t="s">
        <v>16</v>
      </c>
      <c r="C24" s="190">
        <v>1000000</v>
      </c>
      <c r="D24" s="190">
        <v>926737</v>
      </c>
      <c r="E24" s="191">
        <v>926737</v>
      </c>
      <c r="F24" s="191">
        <v>643937</v>
      </c>
      <c r="G24" s="191"/>
      <c r="H24" s="191">
        <f>E24-G24-F24</f>
        <v>282800</v>
      </c>
      <c r="I24" s="191">
        <f ca="1">SUMIFS(INDIRECT($U24 &amp; W$8),INDIRECT($U24 &amp; "B3:B200"),$V24,INDIRECT($U24 &amp; "D3:D200"),$B24)</f>
        <v>0</v>
      </c>
      <c r="J24" s="244"/>
      <c r="K24" s="190">
        <f ca="1">J24-L24</f>
        <v>0</v>
      </c>
      <c r="L24" s="191">
        <f ca="1">SUMIFS(INDIRECT($U24 &amp; X$8),INDIRECT($U24 &amp; "B3:B200"),$V24,INDIRECT($U24 &amp; "D3:D200"),$B24)</f>
        <v>0</v>
      </c>
      <c r="M24" s="191">
        <f ca="1">SUMIFS(INDIRECT($U24 &amp; Y$8),INDIRECT($U24 &amp; "B3:B200"),$V24,INDIRECT($U24 &amp; "D3:D200"),$B24)</f>
        <v>0</v>
      </c>
      <c r="N24" s="210">
        <f ca="1">SUMIFS(INDIRECT($U24 &amp; Z$8),INDIRECT($U24 &amp; "B3:B200"),$V24,INDIRECT($U24 &amp; "D3:D200"),$B24)</f>
        <v>0</v>
      </c>
      <c r="O24" s="224">
        <f ca="1">H24-K24-L24</f>
        <v>282800</v>
      </c>
      <c r="P24" s="217">
        <f t="shared" ca="1" si="2"/>
        <v>0</v>
      </c>
      <c r="Q24" s="192">
        <f t="shared" ca="1" si="4"/>
        <v>0</v>
      </c>
      <c r="R24" s="192">
        <f t="shared" ca="1" si="5"/>
        <v>0</v>
      </c>
      <c r="S24" s="192">
        <f t="shared" ca="1" si="6"/>
        <v>0</v>
      </c>
      <c r="U24" s="157" t="s">
        <v>107</v>
      </c>
      <c r="V24" s="17" t="str">
        <f t="shared" ref="V24" si="17">IF(A24="",LEFT(A22,4),LEFT(A24,4))</f>
        <v>0003</v>
      </c>
      <c r="AA24" s="67">
        <f t="shared" ref="AA24:AA58" ca="1" si="18">H24-I24</f>
        <v>282800</v>
      </c>
    </row>
    <row r="25" spans="1:27" ht="24.95" customHeight="1" x14ac:dyDescent="0.25">
      <c r="A25" s="158" t="s">
        <v>108</v>
      </c>
      <c r="B25" s="198"/>
      <c r="C25" s="183">
        <f>SUBTOTAL(109,C26:C30)</f>
        <v>32058194</v>
      </c>
      <c r="D25" s="183">
        <f>SUBTOTAL(109,D26:D31)</f>
        <v>39135894</v>
      </c>
      <c r="E25" s="183">
        <f>SUBTOTAL(109,E26:E31)</f>
        <v>38735894</v>
      </c>
      <c r="F25" s="183">
        <f>SUBTOTAL(109,F26:F31)</f>
        <v>12501549</v>
      </c>
      <c r="G25" s="183">
        <f t="shared" ref="G25:O25" si="19">SUBTOTAL(109,G26:G31)</f>
        <v>0</v>
      </c>
      <c r="H25" s="183">
        <f t="shared" si="19"/>
        <v>26234345</v>
      </c>
      <c r="I25" s="183">
        <f t="shared" ca="1" si="19"/>
        <v>26285894</v>
      </c>
      <c r="J25" s="363">
        <f t="shared" si="19"/>
        <v>17934708.850000001</v>
      </c>
      <c r="K25" s="183">
        <f t="shared" ca="1" si="19"/>
        <v>291002.05999999959</v>
      </c>
      <c r="L25" s="183">
        <f t="shared" ca="1" si="19"/>
        <v>17643706.789999999</v>
      </c>
      <c r="M25" s="183">
        <f t="shared" ca="1" si="19"/>
        <v>13616726.149999999</v>
      </c>
      <c r="N25" s="183">
        <f t="shared" ca="1" si="19"/>
        <v>12071620.210000001</v>
      </c>
      <c r="O25" s="183">
        <f t="shared" ca="1" si="19"/>
        <v>8299636.1500000004</v>
      </c>
      <c r="P25" s="184">
        <f ca="1">I25/H25</f>
        <v>1.0019649432833182</v>
      </c>
      <c r="Q25" s="184">
        <f t="shared" ca="1" si="4"/>
        <v>0.6725423024664805</v>
      </c>
      <c r="R25" s="184">
        <f t="shared" ca="1" si="5"/>
        <v>0.51904197150719789</v>
      </c>
      <c r="S25" s="184">
        <f t="shared" ca="1" si="6"/>
        <v>0.46014566820707742</v>
      </c>
      <c r="AA25" s="67"/>
    </row>
    <row r="26" spans="1:27" ht="41.25" customHeight="1" x14ac:dyDescent="0.25">
      <c r="A26" s="186" t="s">
        <v>109</v>
      </c>
      <c r="B26" s="196"/>
      <c r="C26" s="187">
        <f>SUBTOTAL(109,C27:C30)</f>
        <v>32058194</v>
      </c>
      <c r="D26" s="187">
        <f>SUBTOTAL(109,D27:D31)</f>
        <v>39135894</v>
      </c>
      <c r="E26" s="187">
        <f>SUBTOTAL(109,E27:E31)</f>
        <v>38735894</v>
      </c>
      <c r="F26" s="187">
        <f>SUBTOTAL(109,F27:F31)</f>
        <v>12501549</v>
      </c>
      <c r="G26" s="187">
        <f>SUBTOTAL(109,G27:G31)</f>
        <v>0</v>
      </c>
      <c r="H26" s="187">
        <f>SUBTOTAL(109,H27:H31)</f>
        <v>26234345</v>
      </c>
      <c r="I26" s="187">
        <f t="shared" ref="I26:O26" ca="1" si="20">SUBTOTAL(109,I27:I31)</f>
        <v>26285894</v>
      </c>
      <c r="J26" s="364">
        <f t="shared" ref="J26" si="21">SUBTOTAL(109,J27:J31)</f>
        <v>17934708.850000001</v>
      </c>
      <c r="K26" s="187">
        <f t="shared" ca="1" si="20"/>
        <v>291002.05999999959</v>
      </c>
      <c r="L26" s="187">
        <f t="shared" ca="1" si="20"/>
        <v>17643706.789999999</v>
      </c>
      <c r="M26" s="187">
        <f t="shared" ca="1" si="20"/>
        <v>13616726.149999999</v>
      </c>
      <c r="N26" s="187">
        <f t="shared" ca="1" si="20"/>
        <v>12071620.210000001</v>
      </c>
      <c r="O26" s="187">
        <f t="shared" ca="1" si="20"/>
        <v>8299636.1500000004</v>
      </c>
      <c r="P26" s="188">
        <f t="shared" ca="1" si="2"/>
        <v>1.0019649432833182</v>
      </c>
      <c r="Q26" s="188">
        <f t="shared" ca="1" si="4"/>
        <v>0.6725423024664805</v>
      </c>
      <c r="R26" s="188">
        <f t="shared" ca="1" si="5"/>
        <v>0.51904197150719789</v>
      </c>
      <c r="S26" s="188">
        <f t="shared" ca="1" si="6"/>
        <v>0.46014566820707742</v>
      </c>
      <c r="AA26" s="67"/>
    </row>
    <row r="27" spans="1:27" ht="27.75" customHeight="1" x14ac:dyDescent="0.25">
      <c r="A27" s="607" t="s">
        <v>110</v>
      </c>
      <c r="B27" s="164" t="s">
        <v>16</v>
      </c>
      <c r="C27" s="190">
        <v>2663706</v>
      </c>
      <c r="D27" s="190">
        <v>2473982</v>
      </c>
      <c r="E27" s="191">
        <v>2473982</v>
      </c>
      <c r="F27" s="191">
        <v>51549</v>
      </c>
      <c r="G27" s="191"/>
      <c r="H27" s="191">
        <f>E27-G27-F27</f>
        <v>2422433</v>
      </c>
      <c r="I27" s="244">
        <f ca="1">SUMIFS(INDIRECT($U27 &amp; W$8),INDIRECT($U27 &amp; "B3:B200"),$V27,INDIRECT($U27 &amp; "D3:D200"),$B27)</f>
        <v>2473982</v>
      </c>
      <c r="J27" s="244">
        <v>2188889.65</v>
      </c>
      <c r="K27" s="190">
        <f ca="1">J27-L27</f>
        <v>6273.8500000000931</v>
      </c>
      <c r="L27" s="191">
        <f t="shared" ref="L27:N28" ca="1" si="22">SUMIFS(INDIRECT($U27 &amp; X$8),INDIRECT($U27 &amp; "B3:B200"),$V27,INDIRECT($U27 &amp; "D3:D200"),$B27)</f>
        <v>2182615.7999999998</v>
      </c>
      <c r="M27" s="191">
        <f t="shared" ca="1" si="22"/>
        <v>1397287.05</v>
      </c>
      <c r="N27" s="210">
        <f t="shared" ca="1" si="22"/>
        <v>1397287.05</v>
      </c>
      <c r="O27" s="224">
        <f t="shared" ref="O27:O31" ca="1" si="23">H27-K27-L27</f>
        <v>233543.35000000009</v>
      </c>
      <c r="P27" s="217">
        <f t="shared" ca="1" si="2"/>
        <v>1.0212798455106911</v>
      </c>
      <c r="Q27" s="192">
        <f ca="1">L27/H27</f>
        <v>0.90100151376735693</v>
      </c>
      <c r="R27" s="192">
        <f ca="1">M27/H27</f>
        <v>0.57681143296842474</v>
      </c>
      <c r="S27" s="192">
        <f ca="1">N27/H27</f>
        <v>0.57681143296842474</v>
      </c>
      <c r="U27" s="157" t="s">
        <v>111</v>
      </c>
      <c r="V27" s="17" t="str">
        <f>IF(A27="",LEFT(A26,4),LEFT(A27,4))</f>
        <v>0000</v>
      </c>
      <c r="AA27" s="67"/>
    </row>
    <row r="28" spans="1:27" ht="27.75" customHeight="1" x14ac:dyDescent="0.25">
      <c r="A28" s="608"/>
      <c r="B28" s="197" t="s">
        <v>18</v>
      </c>
      <c r="C28" s="190"/>
      <c r="D28" s="190">
        <v>50000</v>
      </c>
      <c r="E28" s="191">
        <v>50000</v>
      </c>
      <c r="F28" s="191">
        <v>50000</v>
      </c>
      <c r="G28" s="191"/>
      <c r="H28" s="191">
        <f>E28-G28-F28</f>
        <v>0</v>
      </c>
      <c r="I28" s="244">
        <f ca="1">SUMIFS(INDIRECT($U28 &amp; W$8),INDIRECT($U28 &amp; "B3:B200"),$V28,INDIRECT($U28 &amp; "D3:D200"),$B28)</f>
        <v>0</v>
      </c>
      <c r="J28" s="244"/>
      <c r="K28" s="190">
        <f t="shared" ref="K28:K30" ca="1" si="24">J28-L28</f>
        <v>0</v>
      </c>
      <c r="L28" s="246">
        <f t="shared" ca="1" si="22"/>
        <v>0</v>
      </c>
      <c r="M28" s="246">
        <f t="shared" ca="1" si="22"/>
        <v>0</v>
      </c>
      <c r="N28" s="247">
        <f t="shared" ca="1" si="22"/>
        <v>0</v>
      </c>
      <c r="O28" s="224">
        <f t="shared" ca="1" si="23"/>
        <v>0</v>
      </c>
      <c r="P28" s="217" t="e">
        <f t="shared" ca="1" si="2"/>
        <v>#DIV/0!</v>
      </c>
      <c r="Q28" s="192" t="e">
        <f t="shared" ref="Q28:Q29" ca="1" si="25">L28/H28</f>
        <v>#DIV/0!</v>
      </c>
      <c r="R28" s="192" t="e">
        <f t="shared" ref="R28:R29" ca="1" si="26">M28/H28</f>
        <v>#DIV/0!</v>
      </c>
      <c r="S28" s="192" t="e">
        <f t="shared" ref="S28:S29" ca="1" si="27">N28/H28</f>
        <v>#DIV/0!</v>
      </c>
      <c r="U28" s="157" t="s">
        <v>111</v>
      </c>
      <c r="V28" s="17" t="str">
        <f>IF(A28="",LEFT(A27,4),LEFT(A28,4))</f>
        <v>0000</v>
      </c>
      <c r="AA28" s="67"/>
    </row>
    <row r="29" spans="1:27" ht="42" customHeight="1" x14ac:dyDescent="0.25">
      <c r="A29" s="189" t="s">
        <v>112</v>
      </c>
      <c r="B29" s="164" t="s">
        <v>16</v>
      </c>
      <c r="C29" s="190">
        <v>13757644</v>
      </c>
      <c r="D29" s="190">
        <v>12777740</v>
      </c>
      <c r="E29" s="246">
        <v>7721555</v>
      </c>
      <c r="F29" s="246">
        <v>3473651</v>
      </c>
      <c r="G29" s="246"/>
      <c r="H29" s="191">
        <f>E29-G29-F29</f>
        <v>4247904</v>
      </c>
      <c r="I29" s="392">
        <f ca="1">SUMIFS(INDIRECT($U29 &amp; W$8),INDIRECT($U29 &amp; "B3:B200"),$V29,INDIRECT($U29 &amp; "D3:D200"),$B29)</f>
        <v>4247904</v>
      </c>
      <c r="J29" s="244">
        <v>3878238.53</v>
      </c>
      <c r="K29" s="190">
        <f t="shared" ca="1" si="24"/>
        <v>284728.2099999995</v>
      </c>
      <c r="L29" s="246">
        <f ca="1">SUMIFS(INDIRECT($U29 &amp; X$8),INDIRECT($U29 &amp; "B3:B200"),$V29,INDIRECT($U29 &amp; "D3:D200"),$B29)</f>
        <v>3593510.3200000003</v>
      </c>
      <c r="M29" s="246">
        <f t="shared" ref="L29:N31" ca="1" si="28">SUMIFS(INDIRECT($U29 &amp; Y$8),INDIRECT($U29 &amp; "B3:B200"),$V29,INDIRECT($U29 &amp; "D3:D200"),$B29)</f>
        <v>2023833.1600000001</v>
      </c>
      <c r="N29" s="247">
        <f t="shared" ca="1" si="28"/>
        <v>2020333.1600000001</v>
      </c>
      <c r="O29" s="224">
        <f t="shared" ca="1" si="23"/>
        <v>369665.4700000002</v>
      </c>
      <c r="P29" s="217">
        <f t="shared" ca="1" si="2"/>
        <v>1</v>
      </c>
      <c r="Q29" s="192">
        <f t="shared" ca="1" si="25"/>
        <v>0.84594904216291145</v>
      </c>
      <c r="R29" s="192">
        <f t="shared" ca="1" si="26"/>
        <v>0.47643100220720624</v>
      </c>
      <c r="S29" s="192">
        <f t="shared" ca="1" si="27"/>
        <v>0.47560706644971262</v>
      </c>
      <c r="U29" s="157" t="s">
        <v>111</v>
      </c>
      <c r="V29" s="17" t="str">
        <f>IF(A29="",LEFT(A28,4),LEFT(A29,4))</f>
        <v>0001</v>
      </c>
      <c r="AA29" s="67"/>
    </row>
    <row r="30" spans="1:27" ht="27" customHeight="1" x14ac:dyDescent="0.25">
      <c r="A30" s="606" t="s">
        <v>113</v>
      </c>
      <c r="B30" s="164" t="s">
        <v>16</v>
      </c>
      <c r="C30" s="190">
        <v>15636844</v>
      </c>
      <c r="D30" s="190">
        <v>14507823</v>
      </c>
      <c r="E30" s="246">
        <v>19564008</v>
      </c>
      <c r="F30" s="246"/>
      <c r="G30" s="246"/>
      <c r="H30" s="191">
        <f>E30-G30-F30</f>
        <v>19564008</v>
      </c>
      <c r="I30" s="392">
        <f ca="1">SUMIFS(INDIRECT($U30 &amp; W$8),INDIRECT($U30 &amp; "B3:B200"),$V30,INDIRECT($U30 &amp; "D3:D200"),$B30)</f>
        <v>19564008</v>
      </c>
      <c r="J30" s="244">
        <v>11867580.67</v>
      </c>
      <c r="K30" s="190">
        <f t="shared" ca="1" si="24"/>
        <v>0</v>
      </c>
      <c r="L30" s="246">
        <f t="shared" ca="1" si="28"/>
        <v>11867580.67</v>
      </c>
      <c r="M30" s="246">
        <f t="shared" ca="1" si="28"/>
        <v>10195605.939999999</v>
      </c>
      <c r="N30" s="247">
        <f t="shared" ca="1" si="28"/>
        <v>8654000</v>
      </c>
      <c r="O30" s="224">
        <f t="shared" ca="1" si="23"/>
        <v>7696427.3300000001</v>
      </c>
      <c r="P30" s="217">
        <f t="shared" ref="P30:P31" ca="1" si="29">I30/H30</f>
        <v>1</v>
      </c>
      <c r="Q30" s="192">
        <f t="shared" ca="1" si="4"/>
        <v>0.60660273038121837</v>
      </c>
      <c r="R30" s="192">
        <f t="shared" ca="1" si="5"/>
        <v>0.52114096150441158</v>
      </c>
      <c r="S30" s="192">
        <f t="shared" ca="1" si="6"/>
        <v>0.4423428982445724</v>
      </c>
      <c r="U30" s="157" t="s">
        <v>111</v>
      </c>
      <c r="V30" s="17" t="str">
        <f>IF(A30="",LEFT(A29,4),LEFT(A30,4))</f>
        <v>0002</v>
      </c>
      <c r="AA30" s="67"/>
    </row>
    <row r="31" spans="1:27" ht="27" customHeight="1" x14ac:dyDescent="0.25">
      <c r="A31" s="606"/>
      <c r="B31" s="197" t="s">
        <v>18</v>
      </c>
      <c r="C31" s="190">
        <v>10000000</v>
      </c>
      <c r="D31" s="190">
        <v>9326349</v>
      </c>
      <c r="E31" s="246">
        <v>8926349</v>
      </c>
      <c r="F31" s="246">
        <v>8926349</v>
      </c>
      <c r="G31" s="246"/>
      <c r="H31" s="191">
        <f>E31-G31-F31</f>
        <v>0</v>
      </c>
      <c r="I31" s="191">
        <f ca="1">SUMIFS(INDIRECT($U31 &amp; W$8),INDIRECT($U31 &amp; "B3:B200"),$V31,INDIRECT($U31 &amp; "D3:D200"),$B31)</f>
        <v>0</v>
      </c>
      <c r="J31" s="244"/>
      <c r="K31" s="190"/>
      <c r="L31" s="246">
        <f t="shared" ca="1" si="28"/>
        <v>0</v>
      </c>
      <c r="M31" s="246">
        <f t="shared" ca="1" si="28"/>
        <v>0</v>
      </c>
      <c r="N31" s="247">
        <f t="shared" ca="1" si="28"/>
        <v>0</v>
      </c>
      <c r="O31" s="224">
        <f t="shared" ca="1" si="23"/>
        <v>0</v>
      </c>
      <c r="P31" s="217" t="e">
        <f t="shared" ca="1" si="29"/>
        <v>#DIV/0!</v>
      </c>
      <c r="Q31" s="192" t="e">
        <f t="shared" ca="1" si="4"/>
        <v>#DIV/0!</v>
      </c>
      <c r="R31" s="192" t="e">
        <f t="shared" ca="1" si="5"/>
        <v>#DIV/0!</v>
      </c>
      <c r="S31" s="192" t="e">
        <f t="shared" ca="1" si="6"/>
        <v>#DIV/0!</v>
      </c>
      <c r="U31" s="157" t="s">
        <v>111</v>
      </c>
      <c r="V31" s="17" t="str">
        <f t="shared" ref="V31" si="30">IF(A31="",LEFT(A30,4),LEFT(A31,4))</f>
        <v>0002</v>
      </c>
      <c r="AA31" s="67"/>
    </row>
    <row r="32" spans="1:27" ht="24.95" customHeight="1" x14ac:dyDescent="0.25">
      <c r="A32" s="158" t="s">
        <v>114</v>
      </c>
      <c r="B32" s="198"/>
      <c r="C32" s="183">
        <f>SUBTOTAL(109,C33:C40)</f>
        <v>42135688</v>
      </c>
      <c r="D32" s="183">
        <f>SUBTOTAL(109,D33:D40)</f>
        <v>39148741</v>
      </c>
      <c r="E32" s="183">
        <f>SUBTOTAL(109,E33:E40)</f>
        <v>39212823</v>
      </c>
      <c r="F32" s="183">
        <f>SUBTOTAL(109,F33:F40)</f>
        <v>8084934</v>
      </c>
      <c r="G32" s="183">
        <f t="shared" ref="G32:O32" si="31">SUBTOTAL(109,G33:G40)</f>
        <v>0</v>
      </c>
      <c r="H32" s="183">
        <f t="shared" si="31"/>
        <v>31127889</v>
      </c>
      <c r="I32" s="183">
        <f t="shared" ca="1" si="31"/>
        <v>30832395.060000002</v>
      </c>
      <c r="J32" s="363">
        <f t="shared" si="31"/>
        <v>22682540.030000001</v>
      </c>
      <c r="K32" s="183">
        <f t="shared" ca="1" si="31"/>
        <v>87600.129999999888</v>
      </c>
      <c r="L32" s="183">
        <f t="shared" ca="1" si="31"/>
        <v>22594939.899999999</v>
      </c>
      <c r="M32" s="183">
        <f t="shared" ca="1" si="31"/>
        <v>19664232.329999998</v>
      </c>
      <c r="N32" s="183">
        <f t="shared" ca="1" si="31"/>
        <v>17463092.189999998</v>
      </c>
      <c r="O32" s="183">
        <f t="shared" ca="1" si="31"/>
        <v>8445348.9700000007</v>
      </c>
      <c r="P32" s="184">
        <f ca="1">I32/H32</f>
        <v>0.99050709991930397</v>
      </c>
      <c r="Q32" s="184">
        <f ca="1">L32/H32</f>
        <v>0.72587446903321962</v>
      </c>
      <c r="R32" s="184">
        <f ca="1">M32/H32</f>
        <v>0.63172392866088667</v>
      </c>
      <c r="S32" s="184">
        <f ca="1">N32/H32</f>
        <v>0.56101113024400717</v>
      </c>
      <c r="AA32" s="67"/>
    </row>
    <row r="33" spans="1:27" ht="45" x14ac:dyDescent="0.25">
      <c r="A33" s="186" t="s">
        <v>115</v>
      </c>
      <c r="B33" s="196"/>
      <c r="C33" s="187">
        <f>SUBTOTAL(109,C34:C40)</f>
        <v>42135688</v>
      </c>
      <c r="D33" s="187">
        <f>SUBTOTAL(109,D34:D40)</f>
        <v>39148741</v>
      </c>
      <c r="E33" s="187">
        <f>SUBTOTAL(109,E34:E40)</f>
        <v>39212823</v>
      </c>
      <c r="F33" s="187">
        <f>SUBTOTAL(109,F34:F40)</f>
        <v>8084934</v>
      </c>
      <c r="G33" s="187">
        <f t="shared" ref="G33:O33" si="32">SUBTOTAL(109,G34:G40)</f>
        <v>0</v>
      </c>
      <c r="H33" s="187">
        <f t="shared" si="32"/>
        <v>31127889</v>
      </c>
      <c r="I33" s="187">
        <f t="shared" ca="1" si="32"/>
        <v>30832395.060000002</v>
      </c>
      <c r="J33" s="364">
        <f t="shared" si="32"/>
        <v>22682540.030000001</v>
      </c>
      <c r="K33" s="187">
        <f t="shared" ca="1" si="32"/>
        <v>87600.129999999888</v>
      </c>
      <c r="L33" s="187">
        <f t="shared" ca="1" si="32"/>
        <v>22594939.899999999</v>
      </c>
      <c r="M33" s="187">
        <f t="shared" ca="1" si="32"/>
        <v>19664232.329999998</v>
      </c>
      <c r="N33" s="187">
        <f t="shared" ca="1" si="32"/>
        <v>17463092.189999998</v>
      </c>
      <c r="O33" s="187">
        <f t="shared" ca="1" si="32"/>
        <v>8445348.9700000007</v>
      </c>
      <c r="P33" s="188">
        <f ca="1">I33/H33</f>
        <v>0.99050709991930397</v>
      </c>
      <c r="Q33" s="188">
        <f ca="1">L33/H33</f>
        <v>0.72587446903321962</v>
      </c>
      <c r="R33" s="188">
        <f ca="1">M33/H33</f>
        <v>0.63172392866088667</v>
      </c>
      <c r="S33" s="188">
        <f ca="1">N33/H33</f>
        <v>0.56101113024400717</v>
      </c>
      <c r="AA33" s="67"/>
    </row>
    <row r="34" spans="1:27" ht="60.75" customHeight="1" x14ac:dyDescent="0.25">
      <c r="A34" s="189" t="s">
        <v>116</v>
      </c>
      <c r="B34" s="197" t="s">
        <v>16</v>
      </c>
      <c r="C34" s="190">
        <v>2000000</v>
      </c>
      <c r="D34" s="190">
        <v>1859799</v>
      </c>
      <c r="E34" s="191">
        <v>2499130</v>
      </c>
      <c r="F34" s="191">
        <v>0</v>
      </c>
      <c r="G34" s="191"/>
      <c r="H34" s="191">
        <f t="shared" ref="H34:H40" si="33">E34-G34-F34</f>
        <v>2499130</v>
      </c>
      <c r="I34" s="191">
        <f t="shared" ref="I34:I40" ca="1" si="34">SUMIFS(INDIRECT($U34 &amp; W$8),INDIRECT($U34 &amp; "B3:B200"),$V34,INDIRECT($U34 &amp; "D3:D200"),$B34)</f>
        <v>2499130</v>
      </c>
      <c r="J34" s="244">
        <v>1805034.35</v>
      </c>
      <c r="K34" s="190">
        <f ca="1">J34-L34</f>
        <v>0</v>
      </c>
      <c r="L34" s="191">
        <f t="shared" ref="L34:N40" ca="1" si="35">SUMIFS(INDIRECT($U34 &amp; X$8),INDIRECT($U34 &amp; "B3:B200"),$V34,INDIRECT($U34 &amp; "D3:D200"),$B34)</f>
        <v>1805034.35</v>
      </c>
      <c r="M34" s="191">
        <f t="shared" ca="1" si="35"/>
        <v>1327574.94</v>
      </c>
      <c r="N34" s="210">
        <f t="shared" ca="1" si="35"/>
        <v>1327574.94</v>
      </c>
      <c r="O34" s="224">
        <f ca="1">H34-K34-L34</f>
        <v>694095.64999999991</v>
      </c>
      <c r="P34" s="217">
        <f t="shared" ref="P34:P40" ca="1" si="36">I34/H34</f>
        <v>1</v>
      </c>
      <c r="Q34" s="192">
        <f t="shared" ca="1" si="4"/>
        <v>0.72226508825071134</v>
      </c>
      <c r="R34" s="192">
        <f t="shared" ca="1" si="5"/>
        <v>0.53121483876388986</v>
      </c>
      <c r="S34" s="192">
        <f t="shared" ca="1" si="6"/>
        <v>0.53121483876388986</v>
      </c>
      <c r="T34" s="199"/>
      <c r="U34" s="200" t="s">
        <v>117</v>
      </c>
      <c r="V34" s="201" t="s">
        <v>14</v>
      </c>
      <c r="W34" s="199"/>
      <c r="X34" s="199"/>
      <c r="Y34" s="199"/>
      <c r="Z34" s="199"/>
      <c r="AA34" s="67"/>
    </row>
    <row r="35" spans="1:27" ht="18.75" customHeight="1" x14ac:dyDescent="0.25">
      <c r="A35" s="606" t="s">
        <v>118</v>
      </c>
      <c r="B35" s="164" t="s">
        <v>16</v>
      </c>
      <c r="C35" s="190">
        <v>7463631</v>
      </c>
      <c r="D35" s="190">
        <v>6934100</v>
      </c>
      <c r="E35" s="191">
        <v>7171507</v>
      </c>
      <c r="F35" s="244">
        <v>182065</v>
      </c>
      <c r="G35" s="244"/>
      <c r="H35" s="191">
        <f t="shared" si="33"/>
        <v>6989442</v>
      </c>
      <c r="I35" s="191">
        <f t="shared" ca="1" si="34"/>
        <v>6986541.1799999997</v>
      </c>
      <c r="J35" s="244">
        <v>6903894.0099999998</v>
      </c>
      <c r="K35" s="190">
        <f ca="1">J35-L35</f>
        <v>12600</v>
      </c>
      <c r="L35" s="191">
        <f ca="1">SUMIFS(INDIRECT($U35 &amp; X$8),INDIRECT($U35 &amp; "B3:B200"),$V35,INDIRECT($U35 &amp; "D3:D200"),$B35)</f>
        <v>6891294.0099999998</v>
      </c>
      <c r="M35" s="191">
        <f t="shared" ca="1" si="35"/>
        <v>6264858.0099999998</v>
      </c>
      <c r="N35" s="210">
        <f t="shared" ca="1" si="35"/>
        <v>5454858.0099999998</v>
      </c>
      <c r="O35" s="224">
        <f ca="1">H35-K35-L35</f>
        <v>85547.990000000224</v>
      </c>
      <c r="P35" s="217">
        <f t="shared" ca="1" si="36"/>
        <v>0.99958497116078793</v>
      </c>
      <c r="Q35" s="192">
        <f t="shared" ca="1" si="4"/>
        <v>0.98595767873887497</v>
      </c>
      <c r="R35" s="192">
        <f t="shared" ca="1" si="5"/>
        <v>0.89633163992204234</v>
      </c>
      <c r="S35" s="192">
        <f t="shared" ca="1" si="6"/>
        <v>0.78044256036461845</v>
      </c>
      <c r="T35" s="199"/>
      <c r="U35" s="200" t="s">
        <v>117</v>
      </c>
      <c r="V35" s="201" t="s">
        <v>119</v>
      </c>
      <c r="W35" s="199"/>
      <c r="X35" s="199"/>
      <c r="Y35" s="199"/>
      <c r="Z35" s="199"/>
      <c r="AA35" s="67"/>
    </row>
    <row r="36" spans="1:27" ht="18.75" customHeight="1" x14ac:dyDescent="0.25">
      <c r="A36" s="606"/>
      <c r="B36" s="197" t="s">
        <v>18</v>
      </c>
      <c r="C36" s="190">
        <v>1000000</v>
      </c>
      <c r="D36" s="190">
        <v>926738</v>
      </c>
      <c r="E36" s="191">
        <v>500000</v>
      </c>
      <c r="F36" s="244">
        <v>500000</v>
      </c>
      <c r="G36" s="244"/>
      <c r="H36" s="191">
        <f t="shared" si="33"/>
        <v>0</v>
      </c>
      <c r="I36" s="244">
        <f t="shared" ca="1" si="34"/>
        <v>0</v>
      </c>
      <c r="J36" s="244"/>
      <c r="K36" s="190">
        <f t="shared" ref="K36:K40" ca="1" si="37">J36-L36</f>
        <v>0</v>
      </c>
      <c r="L36" s="191">
        <f t="shared" ca="1" si="35"/>
        <v>0</v>
      </c>
      <c r="M36" s="191">
        <f t="shared" ca="1" si="35"/>
        <v>0</v>
      </c>
      <c r="N36" s="210">
        <f t="shared" ca="1" si="35"/>
        <v>0</v>
      </c>
      <c r="O36" s="224">
        <f ca="1">H36-K36-L36</f>
        <v>0</v>
      </c>
      <c r="P36" s="217" t="e">
        <f ca="1">I36/H36</f>
        <v>#DIV/0!</v>
      </c>
      <c r="Q36" s="192" t="e">
        <f ca="1">L36/H36</f>
        <v>#DIV/0!</v>
      </c>
      <c r="R36" s="192" t="e">
        <f ca="1">M36/H36</f>
        <v>#DIV/0!</v>
      </c>
      <c r="S36" s="192" t="e">
        <f ca="1">N36/H36</f>
        <v>#DIV/0!</v>
      </c>
      <c r="T36" s="199"/>
      <c r="U36" s="200" t="s">
        <v>117</v>
      </c>
      <c r="V36" s="201" t="s">
        <v>119</v>
      </c>
      <c r="W36" s="199"/>
      <c r="X36" s="199"/>
      <c r="Y36" s="199"/>
      <c r="Z36" s="199"/>
      <c r="AA36" s="67"/>
    </row>
    <row r="37" spans="1:27" ht="18.75" customHeight="1" x14ac:dyDescent="0.25">
      <c r="A37" s="606" t="s">
        <v>120</v>
      </c>
      <c r="B37" s="164" t="s">
        <v>16</v>
      </c>
      <c r="C37" s="190">
        <v>9649828</v>
      </c>
      <c r="D37" s="190">
        <v>8973364</v>
      </c>
      <c r="E37" s="191">
        <v>9103035</v>
      </c>
      <c r="F37" s="244">
        <v>2521718</v>
      </c>
      <c r="G37" s="244"/>
      <c r="H37" s="191">
        <f t="shared" si="33"/>
        <v>6581317</v>
      </c>
      <c r="I37" s="392">
        <f t="shared" ca="1" si="34"/>
        <v>6581308.21</v>
      </c>
      <c r="J37" s="244">
        <v>5559022</v>
      </c>
      <c r="K37" s="190">
        <f ca="1">J37-L37</f>
        <v>0</v>
      </c>
      <c r="L37" s="191">
        <f t="shared" ca="1" si="35"/>
        <v>5559022</v>
      </c>
      <c r="M37" s="191">
        <f t="shared" ca="1" si="35"/>
        <v>4096567.21</v>
      </c>
      <c r="N37" s="210">
        <f t="shared" ca="1" si="35"/>
        <v>4092927.07</v>
      </c>
      <c r="O37" s="224">
        <f ca="1">H37-K37-L37</f>
        <v>1022295</v>
      </c>
      <c r="P37" s="217">
        <f t="shared" ca="1" si="36"/>
        <v>0.99999866440106133</v>
      </c>
      <c r="Q37" s="192">
        <f t="shared" ca="1" si="4"/>
        <v>0.84466710842222004</v>
      </c>
      <c r="R37" s="192">
        <f t="shared" ca="1" si="5"/>
        <v>0.62245401794200161</v>
      </c>
      <c r="S37" s="192">
        <f t="shared" ca="1" si="6"/>
        <v>0.62190091588051444</v>
      </c>
      <c r="T37" s="199"/>
      <c r="U37" s="200" t="s">
        <v>117</v>
      </c>
      <c r="V37" s="201" t="s">
        <v>121</v>
      </c>
      <c r="W37" s="199"/>
      <c r="X37" s="199"/>
      <c r="Y37" s="199"/>
      <c r="Z37" s="199"/>
      <c r="AA37" s="67"/>
    </row>
    <row r="38" spans="1:27" ht="28.5" customHeight="1" x14ac:dyDescent="0.25">
      <c r="A38" s="606"/>
      <c r="B38" s="197" t="s">
        <v>18</v>
      </c>
      <c r="C38" s="190">
        <v>2500000</v>
      </c>
      <c r="D38" s="190">
        <v>2316845</v>
      </c>
      <c r="E38" s="191">
        <v>1937174</v>
      </c>
      <c r="F38" s="244">
        <v>1158587</v>
      </c>
      <c r="G38" s="244"/>
      <c r="H38" s="191">
        <f t="shared" si="33"/>
        <v>778587</v>
      </c>
      <c r="I38" s="244">
        <f t="shared" ca="1" si="34"/>
        <v>778587</v>
      </c>
      <c r="J38" s="244"/>
      <c r="K38" s="190">
        <f t="shared" ca="1" si="37"/>
        <v>0</v>
      </c>
      <c r="L38" s="191">
        <f t="shared" ca="1" si="35"/>
        <v>0</v>
      </c>
      <c r="M38" s="191">
        <f t="shared" ca="1" si="35"/>
        <v>0</v>
      </c>
      <c r="N38" s="210">
        <f t="shared" ca="1" si="35"/>
        <v>0</v>
      </c>
      <c r="O38" s="224">
        <f t="shared" ref="O38" ca="1" si="38">H38-K38-L38</f>
        <v>778587</v>
      </c>
      <c r="P38" s="217">
        <f t="shared" ca="1" si="36"/>
        <v>1</v>
      </c>
      <c r="Q38" s="192">
        <f t="shared" ca="1" si="4"/>
        <v>0</v>
      </c>
      <c r="R38" s="192">
        <f t="shared" ca="1" si="5"/>
        <v>0</v>
      </c>
      <c r="S38" s="192">
        <f t="shared" ca="1" si="6"/>
        <v>0</v>
      </c>
      <c r="T38" s="199"/>
      <c r="U38" s="200" t="s">
        <v>117</v>
      </c>
      <c r="V38" s="201" t="s">
        <v>121</v>
      </c>
      <c r="W38" s="199"/>
      <c r="X38" s="199"/>
      <c r="Y38" s="199"/>
      <c r="Z38" s="199"/>
      <c r="AA38" s="67"/>
    </row>
    <row r="39" spans="1:27" ht="18.75" customHeight="1" x14ac:dyDescent="0.25">
      <c r="A39" s="606" t="s">
        <v>122</v>
      </c>
      <c r="B39" s="164" t="s">
        <v>16</v>
      </c>
      <c r="C39" s="190">
        <v>16522229</v>
      </c>
      <c r="D39" s="190">
        <v>15357681</v>
      </c>
      <c r="E39" s="190">
        <v>15221763</v>
      </c>
      <c r="F39" s="244">
        <v>942350</v>
      </c>
      <c r="G39" s="244"/>
      <c r="H39" s="191">
        <f t="shared" si="33"/>
        <v>14279413</v>
      </c>
      <c r="I39" s="244">
        <f ca="1">SUMIFS(INDIRECT($U39 &amp; W$8),INDIRECT($U39 &amp; "B3:B200"),$V39,INDIRECT($U39 &amp; "D3:D200"),$B39)</f>
        <v>13986828.67</v>
      </c>
      <c r="J39" s="244">
        <v>8414589.6699999999</v>
      </c>
      <c r="K39" s="190">
        <f t="shared" ca="1" si="37"/>
        <v>75000.129999999888</v>
      </c>
      <c r="L39" s="244">
        <f t="shared" ca="1" si="35"/>
        <v>8339589.54</v>
      </c>
      <c r="M39" s="244">
        <f t="shared" ca="1" si="35"/>
        <v>7975232.1699999999</v>
      </c>
      <c r="N39" s="245">
        <f t="shared" ca="1" si="35"/>
        <v>6587732.1699999999</v>
      </c>
      <c r="O39" s="224">
        <f ca="1">H39-K39-L39</f>
        <v>5864823.330000001</v>
      </c>
      <c r="P39" s="217">
        <f t="shared" ca="1" si="36"/>
        <v>0.97951005899192078</v>
      </c>
      <c r="Q39" s="192">
        <f t="shared" ca="1" si="4"/>
        <v>0.58402887709739892</v>
      </c>
      <c r="R39" s="192">
        <f t="shared" ca="1" si="5"/>
        <v>0.55851260622548005</v>
      </c>
      <c r="S39" s="192">
        <f t="shared" ca="1" si="6"/>
        <v>0.46134474645421347</v>
      </c>
      <c r="T39" s="199"/>
      <c r="U39" s="200" t="s">
        <v>117</v>
      </c>
      <c r="V39" s="201" t="s">
        <v>123</v>
      </c>
      <c r="W39" s="199"/>
      <c r="X39" s="199"/>
      <c r="Y39" s="199"/>
      <c r="Z39" s="199"/>
      <c r="AA39" s="67"/>
    </row>
    <row r="40" spans="1:27" ht="23.25" customHeight="1" x14ac:dyDescent="0.25">
      <c r="A40" s="606"/>
      <c r="B40" s="197" t="s">
        <v>18</v>
      </c>
      <c r="C40" s="190">
        <v>3000000</v>
      </c>
      <c r="D40" s="190">
        <v>2780214</v>
      </c>
      <c r="E40" s="191">
        <v>2780214</v>
      </c>
      <c r="F40" s="244">
        <v>2780214</v>
      </c>
      <c r="G40" s="244"/>
      <c r="H40" s="191">
        <f t="shared" si="33"/>
        <v>0</v>
      </c>
      <c r="I40" s="392">
        <f t="shared" ca="1" si="34"/>
        <v>0</v>
      </c>
      <c r="J40" s="244"/>
      <c r="K40" s="190">
        <f t="shared" ca="1" si="37"/>
        <v>0</v>
      </c>
      <c r="L40" s="244">
        <f t="shared" ca="1" si="35"/>
        <v>0</v>
      </c>
      <c r="M40" s="244">
        <f t="shared" ca="1" si="35"/>
        <v>0</v>
      </c>
      <c r="N40" s="245">
        <f t="shared" ca="1" si="35"/>
        <v>0</v>
      </c>
      <c r="O40" s="224">
        <f ca="1">H40-K40-L40</f>
        <v>0</v>
      </c>
      <c r="P40" s="217" t="e">
        <f t="shared" ca="1" si="36"/>
        <v>#DIV/0!</v>
      </c>
      <c r="Q40" s="192" t="e">
        <f t="shared" ca="1" si="4"/>
        <v>#DIV/0!</v>
      </c>
      <c r="R40" s="192" t="e">
        <f t="shared" ca="1" si="5"/>
        <v>#DIV/0!</v>
      </c>
      <c r="S40" s="192" t="e">
        <f t="shared" ca="1" si="6"/>
        <v>#DIV/0!</v>
      </c>
      <c r="T40" s="199"/>
      <c r="U40" s="200" t="s">
        <v>117</v>
      </c>
      <c r="V40" s="201" t="s">
        <v>123</v>
      </c>
      <c r="W40" s="199"/>
      <c r="X40" s="199"/>
      <c r="Y40" s="199"/>
      <c r="Z40" s="199"/>
      <c r="AA40" s="67"/>
    </row>
    <row r="41" spans="1:27" ht="24.95" customHeight="1" x14ac:dyDescent="0.25">
      <c r="A41" s="158" t="s">
        <v>124</v>
      </c>
      <c r="B41" s="198"/>
      <c r="C41" s="183">
        <f>SUBTOTAL(109,C42:C43)</f>
        <v>2000000</v>
      </c>
      <c r="D41" s="183">
        <f>SUBTOTAL(109,D42:D43)</f>
        <v>1853476</v>
      </c>
      <c r="E41" s="183">
        <f>SUBTOTAL(109,E42:E43)</f>
        <v>2253476</v>
      </c>
      <c r="F41" s="183">
        <f>SUBTOTAL(109,F42:F43)</f>
        <v>0</v>
      </c>
      <c r="G41" s="183">
        <f t="shared" ref="G41:O41" si="39">SUBTOTAL(109,G42:G43)</f>
        <v>0</v>
      </c>
      <c r="H41" s="183">
        <f t="shared" si="39"/>
        <v>2253476</v>
      </c>
      <c r="I41" s="183">
        <f t="shared" ca="1" si="39"/>
        <v>1853476</v>
      </c>
      <c r="J41" s="363">
        <f t="shared" si="39"/>
        <v>1479048.88</v>
      </c>
      <c r="K41" s="183">
        <f t="shared" ca="1" si="39"/>
        <v>90000</v>
      </c>
      <c r="L41" s="183">
        <f t="shared" ca="1" si="39"/>
        <v>1389048.88</v>
      </c>
      <c r="M41" s="183">
        <f t="shared" ca="1" si="39"/>
        <v>1173132.53</v>
      </c>
      <c r="N41" s="183">
        <f t="shared" ca="1" si="39"/>
        <v>1173132.53</v>
      </c>
      <c r="O41" s="183">
        <f t="shared" ca="1" si="39"/>
        <v>774427.12000000011</v>
      </c>
      <c r="P41" s="184">
        <f t="shared" ref="P41:P46" ca="1" si="40">I41/H41</f>
        <v>0.82249644549132095</v>
      </c>
      <c r="Q41" s="184">
        <f t="shared" ca="1" si="4"/>
        <v>0.61640278396574888</v>
      </c>
      <c r="R41" s="184">
        <f t="shared" ca="1" si="5"/>
        <v>0.52058798496189884</v>
      </c>
      <c r="S41" s="184">
        <f t="shared" ca="1" si="6"/>
        <v>0.52058798496189884</v>
      </c>
      <c r="AA41" s="67"/>
    </row>
    <row r="42" spans="1:27" ht="30" x14ac:dyDescent="0.25">
      <c r="A42" s="186" t="s">
        <v>125</v>
      </c>
      <c r="B42" s="196"/>
      <c r="C42" s="187">
        <f>SUBTOTAL(109,C43:C43)</f>
        <v>2000000</v>
      </c>
      <c r="D42" s="187">
        <f>SUBTOTAL(109,D43:D43)</f>
        <v>1853476</v>
      </c>
      <c r="E42" s="187">
        <f>SUBTOTAL(109,E43:E43)</f>
        <v>2253476</v>
      </c>
      <c r="F42" s="187">
        <f>SUBTOTAL(109,F43:F43)</f>
        <v>0</v>
      </c>
      <c r="G42" s="187">
        <f t="shared" ref="G42:O42" si="41">SUBTOTAL(109,G43:G43)</f>
        <v>0</v>
      </c>
      <c r="H42" s="187">
        <f t="shared" si="41"/>
        <v>2253476</v>
      </c>
      <c r="I42" s="187">
        <f t="shared" ca="1" si="41"/>
        <v>1853476</v>
      </c>
      <c r="J42" s="364">
        <f t="shared" si="41"/>
        <v>1479048.88</v>
      </c>
      <c r="K42" s="187">
        <f t="shared" ca="1" si="41"/>
        <v>90000</v>
      </c>
      <c r="L42" s="187">
        <f t="shared" ca="1" si="41"/>
        <v>1389048.88</v>
      </c>
      <c r="M42" s="187">
        <f t="shared" ca="1" si="41"/>
        <v>1173132.53</v>
      </c>
      <c r="N42" s="187">
        <f t="shared" ca="1" si="41"/>
        <v>1173132.53</v>
      </c>
      <c r="O42" s="187">
        <f t="shared" ca="1" si="41"/>
        <v>774427.12000000011</v>
      </c>
      <c r="P42" s="188">
        <f t="shared" ca="1" si="40"/>
        <v>0.82249644549132095</v>
      </c>
      <c r="Q42" s="188">
        <f t="shared" ca="1" si="4"/>
        <v>0.61640278396574888</v>
      </c>
      <c r="R42" s="188">
        <f t="shared" ca="1" si="5"/>
        <v>0.52058798496189884</v>
      </c>
      <c r="S42" s="188">
        <f t="shared" ca="1" si="6"/>
        <v>0.52058798496189884</v>
      </c>
      <c r="AA42" s="67"/>
    </row>
    <row r="43" spans="1:27" ht="36" customHeight="1" x14ac:dyDescent="0.25">
      <c r="A43" s="189" t="s">
        <v>126</v>
      </c>
      <c r="B43" s="164" t="s">
        <v>16</v>
      </c>
      <c r="C43" s="190">
        <v>2000000</v>
      </c>
      <c r="D43" s="190">
        <v>1853476</v>
      </c>
      <c r="E43" s="190">
        <v>2253476</v>
      </c>
      <c r="F43" s="190"/>
      <c r="G43" s="190"/>
      <c r="H43" s="191">
        <f>E43-G43-F43</f>
        <v>2253476</v>
      </c>
      <c r="I43" s="190">
        <f ca="1">SUMIFS(INDIRECT($U43 &amp; W$8),INDIRECT($U43 &amp; "B3:B200"),$V43,INDIRECT($U43 &amp; "D3:D200"),$B43)</f>
        <v>1853476</v>
      </c>
      <c r="J43" s="365">
        <v>1479048.88</v>
      </c>
      <c r="K43" s="190">
        <f ca="1">J43-L43</f>
        <v>90000</v>
      </c>
      <c r="L43" s="190">
        <f t="shared" ref="L43" ca="1" si="42">SUMIFS(INDIRECT($U43 &amp; X$8),INDIRECT($U43 &amp; "B3:B200"),$V43,INDIRECT($U43 &amp; "D3:D200"),$B43)</f>
        <v>1389048.88</v>
      </c>
      <c r="M43" s="190">
        <f ca="1">SUMIFS(INDIRECT($U43 &amp; Y$8),INDIRECT($U43 &amp; "B3:B200"),$V43,INDIRECT($U43 &amp; "D3:D200"),$B43)</f>
        <v>1173132.53</v>
      </c>
      <c r="N43" s="211">
        <f ca="1">SUMIFS(INDIRECT($U43 &amp; Z$8),INDIRECT($U43 &amp; "B3:B200"),$V43,INDIRECT($U43 &amp; "D3:D200"),$B43)</f>
        <v>1173132.53</v>
      </c>
      <c r="O43" s="224">
        <f t="shared" ref="O43" ca="1" si="43">H43-K43-L43</f>
        <v>774427.12000000011</v>
      </c>
      <c r="P43" s="192">
        <f t="shared" ca="1" si="40"/>
        <v>0.82249644549132095</v>
      </c>
      <c r="Q43" s="192">
        <f t="shared" ca="1" si="4"/>
        <v>0.61640278396574888</v>
      </c>
      <c r="R43" s="192">
        <f t="shared" ca="1" si="5"/>
        <v>0.52058798496189884</v>
      </c>
      <c r="S43" s="192">
        <f t="shared" ca="1" si="6"/>
        <v>0.52058798496189884</v>
      </c>
      <c r="U43" s="200" t="s">
        <v>127</v>
      </c>
      <c r="V43" s="201" t="s">
        <v>14</v>
      </c>
      <c r="W43" s="199"/>
      <c r="X43" s="199"/>
      <c r="Y43" s="199"/>
      <c r="Z43" s="199"/>
      <c r="AA43" s="67"/>
    </row>
    <row r="44" spans="1:27" ht="24.95" customHeight="1" x14ac:dyDescent="0.25">
      <c r="A44" s="158" t="s">
        <v>12</v>
      </c>
      <c r="B44" s="198"/>
      <c r="C44" s="183">
        <f>SUBTOTAL(109,C45:C58)</f>
        <v>41465065</v>
      </c>
      <c r="D44" s="183">
        <f>SUBTOTAL(109,D45:D58)</f>
        <v>38497208</v>
      </c>
      <c r="E44" s="183">
        <f>SUBTOTAL(109,E45:E58)</f>
        <v>38497208</v>
      </c>
      <c r="F44" s="183">
        <f>SUBTOTAL(109,F45:F58)</f>
        <v>985707</v>
      </c>
      <c r="G44" s="183">
        <f t="shared" ref="G44:O44" si="44">SUBTOTAL(109,G45:G58)</f>
        <v>0</v>
      </c>
      <c r="H44" s="183">
        <f t="shared" si="44"/>
        <v>37511501</v>
      </c>
      <c r="I44" s="183">
        <f t="shared" ca="1" si="44"/>
        <v>39991802</v>
      </c>
      <c r="J44" s="363">
        <f t="shared" si="44"/>
        <v>35736317.93999999</v>
      </c>
      <c r="K44" s="183">
        <f t="shared" ca="1" si="44"/>
        <v>910368.12999999826</v>
      </c>
      <c r="L44" s="183">
        <f t="shared" ca="1" si="44"/>
        <v>34825949.809999995</v>
      </c>
      <c r="M44" s="183">
        <f t="shared" ca="1" si="44"/>
        <v>22127676.779999997</v>
      </c>
      <c r="N44" s="183">
        <f t="shared" ca="1" si="44"/>
        <v>21719685.629999999</v>
      </c>
      <c r="O44" s="183">
        <f t="shared" ca="1" si="44"/>
        <v>1775183.0600000017</v>
      </c>
      <c r="P44" s="184">
        <f t="shared" ca="1" si="40"/>
        <v>1.0661210811052322</v>
      </c>
      <c r="Q44" s="184">
        <f t="shared" ca="1" si="4"/>
        <v>0.9284072586164972</v>
      </c>
      <c r="R44" s="184">
        <f t="shared" ca="1" si="5"/>
        <v>0.58989046532688727</v>
      </c>
      <c r="S44" s="184">
        <f t="shared" ca="1" si="6"/>
        <v>0.57901403705492882</v>
      </c>
      <c r="AA44" s="67"/>
    </row>
    <row r="45" spans="1:27" ht="25.5" customHeight="1" x14ac:dyDescent="0.25">
      <c r="A45" s="186" t="s">
        <v>128</v>
      </c>
      <c r="B45" s="196"/>
      <c r="C45" s="187">
        <f>SUBTOTAL(109,C46:C54)</f>
        <v>38965065</v>
      </c>
      <c r="D45" s="187">
        <f>SUBTOTAL(109,D46:D54)</f>
        <v>36121393</v>
      </c>
      <c r="E45" s="187">
        <f>SUBTOTAL(109,E46:E54)</f>
        <v>36121393</v>
      </c>
      <c r="F45" s="187">
        <f>SUBTOTAL(109,F46:F54)</f>
        <v>0</v>
      </c>
      <c r="G45" s="187">
        <f t="shared" ref="G45" si="45">SUBTOTAL(109,G46:G53)</f>
        <v>0</v>
      </c>
      <c r="H45" s="187">
        <f t="shared" ref="H45:O45" si="46">SUBTOTAL(109,H46:H54)</f>
        <v>36121393</v>
      </c>
      <c r="I45" s="187">
        <f t="shared" ca="1" si="46"/>
        <v>38491802</v>
      </c>
      <c r="J45" s="364">
        <f t="shared" si="46"/>
        <v>34536317.93999999</v>
      </c>
      <c r="K45" s="187">
        <f t="shared" ca="1" si="46"/>
        <v>1100476.1299999983</v>
      </c>
      <c r="L45" s="187">
        <f t="shared" ca="1" si="46"/>
        <v>33435841.809999995</v>
      </c>
      <c r="M45" s="187">
        <f t="shared" ca="1" si="46"/>
        <v>21252767.069999997</v>
      </c>
      <c r="N45" s="187">
        <f t="shared" ca="1" si="46"/>
        <v>20844775.919999998</v>
      </c>
      <c r="O45" s="187">
        <f t="shared" ca="1" si="46"/>
        <v>1585075.0600000017</v>
      </c>
      <c r="P45" s="188">
        <f t="shared" ca="1" si="40"/>
        <v>1.0656234104814286</v>
      </c>
      <c r="Q45" s="188">
        <f t="shared" ca="1" si="4"/>
        <v>0.92565205915508286</v>
      </c>
      <c r="R45" s="188">
        <f t="shared" ca="1" si="5"/>
        <v>0.58837063869602135</v>
      </c>
      <c r="S45" s="188">
        <f t="shared" ca="1" si="6"/>
        <v>0.57707563825127117</v>
      </c>
      <c r="V45" s="67"/>
      <c r="AA45" s="67"/>
    </row>
    <row r="46" spans="1:27" ht="19.5" customHeight="1" x14ac:dyDescent="0.25">
      <c r="A46" s="606" t="s">
        <v>129</v>
      </c>
      <c r="B46" s="164" t="s">
        <v>16</v>
      </c>
      <c r="C46" s="190">
        <v>30065065</v>
      </c>
      <c r="D46" s="190">
        <v>27862440</v>
      </c>
      <c r="E46" s="191">
        <v>31849254</v>
      </c>
      <c r="F46" s="191"/>
      <c r="G46" s="191"/>
      <c r="H46" s="191">
        <f t="shared" ref="H46:H54" si="47">E46-G46-F46</f>
        <v>31849254</v>
      </c>
      <c r="I46" s="398">
        <f t="shared" ref="I46:I54" ca="1" si="48">SUMIFS(INDIRECT($U46 &amp; W$8),INDIRECT($U46 &amp; "B3:B200"),$V46,INDIRECT($U46 &amp; "D3:D200"),$B46)</f>
        <v>30065065</v>
      </c>
      <c r="J46" s="365">
        <v>30853631.059999999</v>
      </c>
      <c r="K46" s="190">
        <f ca="1">J46-L46</f>
        <v>157864.39999999851</v>
      </c>
      <c r="L46" s="190">
        <f t="shared" ref="L46:L54" ca="1" si="49">SUMIFS(INDIRECT($U46 &amp; X$8),INDIRECT($U46 &amp; "B3:B200"),$V46,INDIRECT($U46 &amp; "D3:D200"),$B46)</f>
        <v>30695766.66</v>
      </c>
      <c r="M46" s="190">
        <f t="shared" ref="M46:M54" ca="1" si="50">SUMIFS(INDIRECT($U46 &amp; Y$8),INDIRECT($U46 &amp; "B3:B200"),$V46,INDIRECT($U46 &amp; "D3:D200"),$B46)</f>
        <v>19889117.09</v>
      </c>
      <c r="N46" s="211">
        <f t="shared" ref="N46:N54" ca="1" si="51">SUMIFS(INDIRECT($U46 &amp; Z$8),INDIRECT($U46 &amp; "B3:B200"),$V46,INDIRECT($U46 &amp; "D3:D200"),$B46)</f>
        <v>19481125.940000001</v>
      </c>
      <c r="O46" s="224">
        <f ca="1">H46-K46-L46</f>
        <v>995622.94000000134</v>
      </c>
      <c r="P46" s="192">
        <f t="shared" ca="1" si="40"/>
        <v>0.94398019495213292</v>
      </c>
      <c r="Q46" s="192">
        <f ca="1">L46/H46</f>
        <v>0.96378290869858363</v>
      </c>
      <c r="R46" s="192">
        <f ca="1">M46/H46</f>
        <v>0.62447670171489733</v>
      </c>
      <c r="S46" s="192">
        <f ca="1">N46/H46</f>
        <v>0.61166663244294517</v>
      </c>
      <c r="U46" s="157" t="s">
        <v>130</v>
      </c>
      <c r="V46" s="17" t="str">
        <f>IF(A46="",LEFT(A45,4),LEFT(A46,4))</f>
        <v>0000</v>
      </c>
      <c r="AA46" s="67"/>
    </row>
    <row r="47" spans="1:27" ht="19.5" customHeight="1" x14ac:dyDescent="0.25">
      <c r="A47" s="606"/>
      <c r="B47" s="197" t="s">
        <v>18</v>
      </c>
      <c r="C47" s="190">
        <v>1000000</v>
      </c>
      <c r="D47" s="190">
        <v>926738</v>
      </c>
      <c r="E47" s="550">
        <v>168645</v>
      </c>
      <c r="F47" s="191"/>
      <c r="G47" s="191"/>
      <c r="H47" s="191">
        <f t="shared" si="47"/>
        <v>168645</v>
      </c>
      <c r="I47" s="398">
        <f t="shared" ca="1" si="48"/>
        <v>1000000</v>
      </c>
      <c r="J47" s="365">
        <v>168239</v>
      </c>
      <c r="K47" s="190">
        <f t="shared" ref="K47:K54" ca="1" si="52">J47-L47</f>
        <v>0</v>
      </c>
      <c r="L47" s="190">
        <f t="shared" ca="1" si="49"/>
        <v>168239</v>
      </c>
      <c r="M47" s="190">
        <f t="shared" ca="1" si="50"/>
        <v>160319</v>
      </c>
      <c r="N47" s="211">
        <f t="shared" ca="1" si="51"/>
        <v>160319</v>
      </c>
      <c r="O47" s="224">
        <f t="shared" ref="O47:O56" ca="1" si="53">H47-K47-L47</f>
        <v>406</v>
      </c>
      <c r="P47" s="192">
        <f t="shared" ref="P47:P54" ca="1" si="54">I47/H47</f>
        <v>5.9296154644371315</v>
      </c>
      <c r="Q47" s="192">
        <f t="shared" ca="1" si="4"/>
        <v>0.99759257612143848</v>
      </c>
      <c r="R47" s="192">
        <f t="shared" ca="1" si="5"/>
        <v>0.9506300216430964</v>
      </c>
      <c r="S47" s="192">
        <f t="shared" ca="1" si="6"/>
        <v>0.9506300216430964</v>
      </c>
      <c r="U47" s="157" t="s">
        <v>130</v>
      </c>
      <c r="V47" s="17" t="str">
        <f t="shared" ref="V47:V54" si="55">IF(A47="",LEFT(A46,4),LEFT(A47,4))</f>
        <v>0000</v>
      </c>
      <c r="AA47" s="67"/>
    </row>
    <row r="48" spans="1:27" ht="30.75" customHeight="1" x14ac:dyDescent="0.25">
      <c r="A48" s="189" t="s">
        <v>131</v>
      </c>
      <c r="B48" s="164" t="s">
        <v>16</v>
      </c>
      <c r="C48" s="190">
        <v>1000000</v>
      </c>
      <c r="D48" s="190">
        <v>926737</v>
      </c>
      <c r="E48" s="191">
        <v>588071</v>
      </c>
      <c r="F48" s="191"/>
      <c r="G48" s="191"/>
      <c r="H48" s="191">
        <f t="shared" si="47"/>
        <v>588071</v>
      </c>
      <c r="I48" s="398">
        <f t="shared" ca="1" si="48"/>
        <v>526737</v>
      </c>
      <c r="J48" s="365">
        <v>535062.43999999994</v>
      </c>
      <c r="K48" s="190">
        <f t="shared" ca="1" si="52"/>
        <v>68272.449999999953</v>
      </c>
      <c r="L48" s="190">
        <f ca="1">SUMIFS(INDIRECT($U48 &amp; X$8),INDIRECT($U48 &amp; "B3:B200"),$V48,INDIRECT($U48 &amp; "D3:D200"),$B48)</f>
        <v>466789.99</v>
      </c>
      <c r="M48" s="190">
        <f t="shared" ca="1" si="50"/>
        <v>338040.49</v>
      </c>
      <c r="N48" s="211">
        <f t="shared" ca="1" si="51"/>
        <v>338040.49</v>
      </c>
      <c r="O48" s="224">
        <f t="shared" ca="1" si="53"/>
        <v>53008.560000000056</v>
      </c>
      <c r="P48" s="192">
        <f t="shared" ca="1" si="54"/>
        <v>0.89570306986741399</v>
      </c>
      <c r="Q48" s="192">
        <f t="shared" ca="1" si="4"/>
        <v>0.79376468147553614</v>
      </c>
      <c r="R48" s="192">
        <f t="shared" ca="1" si="5"/>
        <v>0.5748293828466291</v>
      </c>
      <c r="S48" s="192">
        <f t="shared" ca="1" si="6"/>
        <v>0.5748293828466291</v>
      </c>
      <c r="U48" s="157" t="s">
        <v>130</v>
      </c>
      <c r="V48" s="17" t="str">
        <f t="shared" si="55"/>
        <v>0007</v>
      </c>
      <c r="AA48" s="67"/>
    </row>
    <row r="49" spans="1:29" ht="21.75" customHeight="1" x14ac:dyDescent="0.25">
      <c r="A49" s="189" t="s">
        <v>132</v>
      </c>
      <c r="B49" s="164" t="s">
        <v>16</v>
      </c>
      <c r="C49" s="190">
        <v>1500000</v>
      </c>
      <c r="D49" s="190">
        <v>1390106</v>
      </c>
      <c r="E49" s="191">
        <v>590106</v>
      </c>
      <c r="F49" s="191"/>
      <c r="G49" s="191"/>
      <c r="H49" s="191">
        <f t="shared" si="47"/>
        <v>590106</v>
      </c>
      <c r="I49" s="398">
        <f t="shared" ca="1" si="48"/>
        <v>1500000</v>
      </c>
      <c r="J49" s="365">
        <v>371386.4</v>
      </c>
      <c r="K49" s="190">
        <f t="shared" ca="1" si="52"/>
        <v>0</v>
      </c>
      <c r="L49" s="190">
        <f t="shared" ca="1" si="49"/>
        <v>371386.4</v>
      </c>
      <c r="M49" s="190">
        <f t="shared" ca="1" si="50"/>
        <v>349478.89</v>
      </c>
      <c r="N49" s="211">
        <f t="shared" ca="1" si="51"/>
        <v>349478.89</v>
      </c>
      <c r="O49" s="224">
        <f t="shared" ca="1" si="53"/>
        <v>218719.59999999998</v>
      </c>
      <c r="P49" s="192">
        <f t="shared" ca="1" si="54"/>
        <v>2.5419161981067808</v>
      </c>
      <c r="Q49" s="192">
        <f t="shared" ca="1" si="4"/>
        <v>0.62935540394437617</v>
      </c>
      <c r="R49" s="192">
        <f t="shared" ca="1" si="5"/>
        <v>0.59223070092491858</v>
      </c>
      <c r="S49" s="192">
        <f t="shared" ca="1" si="6"/>
        <v>0.59223070092491858</v>
      </c>
      <c r="U49" s="157" t="s">
        <v>130</v>
      </c>
      <c r="V49" s="17" t="str">
        <f t="shared" si="55"/>
        <v>000B</v>
      </c>
      <c r="AA49" s="67"/>
    </row>
    <row r="50" spans="1:29" ht="21.75" customHeight="1" x14ac:dyDescent="0.25">
      <c r="A50" s="189" t="s">
        <v>133</v>
      </c>
      <c r="B50" s="164" t="s">
        <v>16</v>
      </c>
      <c r="C50" s="190">
        <v>1000000</v>
      </c>
      <c r="D50" s="190">
        <v>926737</v>
      </c>
      <c r="E50" s="191">
        <v>626737</v>
      </c>
      <c r="F50" s="191"/>
      <c r="G50" s="191"/>
      <c r="H50" s="191">
        <f t="shared" si="47"/>
        <v>626737</v>
      </c>
      <c r="I50" s="398">
        <f t="shared" ca="1" si="48"/>
        <v>1000000</v>
      </c>
      <c r="J50" s="365">
        <v>456000</v>
      </c>
      <c r="K50" s="190">
        <f t="shared" ca="1" si="52"/>
        <v>0</v>
      </c>
      <c r="L50" s="190">
        <f t="shared" ca="1" si="49"/>
        <v>456000</v>
      </c>
      <c r="M50" s="190">
        <f t="shared" ca="1" si="50"/>
        <v>410439.79</v>
      </c>
      <c r="N50" s="211">
        <f t="shared" ca="1" si="51"/>
        <v>410439.79</v>
      </c>
      <c r="O50" s="224">
        <f t="shared" ca="1" si="53"/>
        <v>170737</v>
      </c>
      <c r="P50" s="192">
        <f t="shared" ca="1" si="54"/>
        <v>1.5955656040731598</v>
      </c>
      <c r="Q50" s="192">
        <f t="shared" ca="1" si="4"/>
        <v>0.72757791545736095</v>
      </c>
      <c r="R50" s="192">
        <f t="shared" ca="1" si="5"/>
        <v>0.6548836114670108</v>
      </c>
      <c r="S50" s="192">
        <f t="shared" ca="1" si="6"/>
        <v>0.6548836114670108</v>
      </c>
      <c r="U50" s="157" t="s">
        <v>130</v>
      </c>
      <c r="V50" s="17" t="str">
        <f t="shared" si="55"/>
        <v>000C</v>
      </c>
      <c r="AA50" s="67"/>
    </row>
    <row r="51" spans="1:29" ht="20.25" customHeight="1" x14ac:dyDescent="0.25">
      <c r="A51" s="606" t="s">
        <v>134</v>
      </c>
      <c r="B51" s="164" t="s">
        <v>16</v>
      </c>
      <c r="C51" s="190">
        <v>1400000</v>
      </c>
      <c r="D51" s="190">
        <v>1308422</v>
      </c>
      <c r="E51" s="191">
        <v>1200471</v>
      </c>
      <c r="F51" s="191"/>
      <c r="G51" s="191"/>
      <c r="H51" s="191">
        <f t="shared" si="47"/>
        <v>1200471</v>
      </c>
      <c r="I51" s="398">
        <f t="shared" ca="1" si="48"/>
        <v>1400000</v>
      </c>
      <c r="J51" s="365">
        <v>1169337.2</v>
      </c>
      <c r="K51" s="190">
        <f ca="1">J51-L51</f>
        <v>718865.61999999988</v>
      </c>
      <c r="L51" s="190">
        <f t="shared" ca="1" si="49"/>
        <v>450471.58</v>
      </c>
      <c r="M51" s="190">
        <f t="shared" ca="1" si="50"/>
        <v>101171.82</v>
      </c>
      <c r="N51" s="211">
        <f t="shared" ca="1" si="51"/>
        <v>101171.82</v>
      </c>
      <c r="O51" s="224">
        <f t="shared" ca="1" si="53"/>
        <v>31133.800000000105</v>
      </c>
      <c r="P51" s="192">
        <f t="shared" ca="1" si="54"/>
        <v>1.1662089296617744</v>
      </c>
      <c r="Q51" s="192">
        <f t="shared" ca="1" si="4"/>
        <v>0.3752456993963203</v>
      </c>
      <c r="R51" s="192">
        <f t="shared" ca="1" si="5"/>
        <v>8.4276771367238365E-2</v>
      </c>
      <c r="S51" s="192">
        <f t="shared" ca="1" si="6"/>
        <v>8.4276771367238365E-2</v>
      </c>
      <c r="U51" s="157" t="s">
        <v>130</v>
      </c>
      <c r="V51" s="17" t="str">
        <f t="shared" si="55"/>
        <v>000F</v>
      </c>
      <c r="AA51" s="67"/>
    </row>
    <row r="52" spans="1:29" ht="20.25" customHeight="1" x14ac:dyDescent="0.25">
      <c r="A52" s="606"/>
      <c r="B52" s="197" t="s">
        <v>18</v>
      </c>
      <c r="C52" s="190">
        <v>1000000</v>
      </c>
      <c r="D52" s="190">
        <v>926738</v>
      </c>
      <c r="E52" s="550">
        <v>147222</v>
      </c>
      <c r="F52" s="191"/>
      <c r="G52" s="191"/>
      <c r="H52" s="191">
        <f t="shared" si="47"/>
        <v>147222</v>
      </c>
      <c r="I52" s="398">
        <f t="shared" ca="1" si="48"/>
        <v>1000000</v>
      </c>
      <c r="J52" s="365">
        <v>147221.25</v>
      </c>
      <c r="K52" s="190">
        <f ca="1">J52-L52</f>
        <v>141673.70000000001</v>
      </c>
      <c r="L52" s="190">
        <f t="shared" ca="1" si="49"/>
        <v>5547.55</v>
      </c>
      <c r="M52" s="190">
        <f t="shared" ca="1" si="50"/>
        <v>0</v>
      </c>
      <c r="N52" s="211">
        <f t="shared" ca="1" si="51"/>
        <v>0</v>
      </c>
      <c r="O52" s="224">
        <f t="shared" ca="1" si="53"/>
        <v>0.74999999998817657</v>
      </c>
      <c r="P52" s="192">
        <f t="shared" ca="1" si="54"/>
        <v>6.7924630829631445</v>
      </c>
      <c r="Q52" s="192">
        <f t="shared" ca="1" si="4"/>
        <v>3.7681528575892194E-2</v>
      </c>
      <c r="R52" s="192">
        <f t="shared" ca="1" si="5"/>
        <v>0</v>
      </c>
      <c r="S52" s="192">
        <f t="shared" ca="1" si="6"/>
        <v>0</v>
      </c>
      <c r="U52" s="157" t="s">
        <v>130</v>
      </c>
      <c r="V52" s="17" t="str">
        <f t="shared" si="55"/>
        <v>000F</v>
      </c>
      <c r="AA52" s="67"/>
    </row>
    <row r="53" spans="1:29" ht="20.25" customHeight="1" x14ac:dyDescent="0.25">
      <c r="A53" s="606" t="s">
        <v>135</v>
      </c>
      <c r="B53" s="164" t="s">
        <v>16</v>
      </c>
      <c r="C53" s="190">
        <v>1000000</v>
      </c>
      <c r="D53" s="190">
        <v>926737</v>
      </c>
      <c r="E53" s="191">
        <v>926737</v>
      </c>
      <c r="F53" s="191"/>
      <c r="G53" s="191"/>
      <c r="H53" s="191">
        <f t="shared" si="47"/>
        <v>926737</v>
      </c>
      <c r="I53" s="398">
        <f t="shared" ca="1" si="48"/>
        <v>1000000</v>
      </c>
      <c r="J53" s="365">
        <v>811290.66</v>
      </c>
      <c r="K53" s="190">
        <f t="shared" ca="1" si="52"/>
        <v>0</v>
      </c>
      <c r="L53" s="190">
        <f t="shared" ca="1" si="49"/>
        <v>811290.66</v>
      </c>
      <c r="M53" s="190">
        <f t="shared" ca="1" si="50"/>
        <v>0</v>
      </c>
      <c r="N53" s="211">
        <f t="shared" ca="1" si="51"/>
        <v>0</v>
      </c>
      <c r="O53" s="224">
        <f ca="1">H53-K53-L53</f>
        <v>115446.33999999997</v>
      </c>
      <c r="P53" s="192">
        <f t="shared" ca="1" si="54"/>
        <v>1.0790547911651309</v>
      </c>
      <c r="Q53" s="192">
        <f t="shared" ca="1" si="4"/>
        <v>0.87542707370052131</v>
      </c>
      <c r="R53" s="192">
        <f t="shared" ca="1" si="5"/>
        <v>0</v>
      </c>
      <c r="S53" s="192">
        <f t="shared" ca="1" si="6"/>
        <v>0</v>
      </c>
      <c r="U53" s="157" t="s">
        <v>130</v>
      </c>
      <c r="V53" s="17" t="str">
        <f t="shared" si="55"/>
        <v>0010</v>
      </c>
      <c r="AA53" s="67"/>
    </row>
    <row r="54" spans="1:29" ht="20.25" customHeight="1" x14ac:dyDescent="0.25">
      <c r="A54" s="606"/>
      <c r="B54" s="197" t="s">
        <v>18</v>
      </c>
      <c r="C54" s="190">
        <v>1000000</v>
      </c>
      <c r="D54" s="190">
        <v>926738</v>
      </c>
      <c r="E54" s="191">
        <v>24150</v>
      </c>
      <c r="F54" s="191"/>
      <c r="G54" s="191"/>
      <c r="H54" s="191">
        <f t="shared" si="47"/>
        <v>24150</v>
      </c>
      <c r="I54" s="398">
        <f t="shared" ca="1" si="48"/>
        <v>1000000</v>
      </c>
      <c r="J54" s="365">
        <v>24149.93</v>
      </c>
      <c r="K54" s="190">
        <f t="shared" ca="1" si="52"/>
        <v>13799.960000000001</v>
      </c>
      <c r="L54" s="190">
        <f t="shared" ca="1" si="49"/>
        <v>10349.969999999999</v>
      </c>
      <c r="M54" s="190">
        <f t="shared" ca="1" si="50"/>
        <v>4199.99</v>
      </c>
      <c r="N54" s="211">
        <f t="shared" ca="1" si="51"/>
        <v>4199.99</v>
      </c>
      <c r="O54" s="224">
        <f ca="1">H54-K54-L54</f>
        <v>6.9999999999708962E-2</v>
      </c>
      <c r="P54" s="192">
        <f t="shared" ca="1" si="54"/>
        <v>41.407867494824018</v>
      </c>
      <c r="Q54" s="192">
        <f t="shared" ca="1" si="4"/>
        <v>0.42857018633540372</v>
      </c>
      <c r="R54" s="192">
        <f t="shared" ca="1" si="5"/>
        <v>0.17391262939958591</v>
      </c>
      <c r="S54" s="192">
        <f t="shared" ca="1" si="6"/>
        <v>0.17391262939958591</v>
      </c>
      <c r="U54" s="157" t="s">
        <v>130</v>
      </c>
      <c r="V54" s="17" t="str">
        <f t="shared" si="55"/>
        <v>0010</v>
      </c>
      <c r="AA54" s="67"/>
    </row>
    <row r="55" spans="1:29" ht="30" x14ac:dyDescent="0.25">
      <c r="A55" s="186" t="s">
        <v>136</v>
      </c>
      <c r="B55" s="196"/>
      <c r="C55" s="187">
        <f t="shared" ref="C55:I55" si="56">SUBTOTAL(109,C56:C56)</f>
        <v>1500000</v>
      </c>
      <c r="D55" s="187">
        <f t="shared" si="56"/>
        <v>1390108</v>
      </c>
      <c r="E55" s="187">
        <f t="shared" si="56"/>
        <v>1390108</v>
      </c>
      <c r="F55" s="187">
        <f t="shared" si="56"/>
        <v>0</v>
      </c>
      <c r="G55" s="187">
        <f t="shared" si="56"/>
        <v>0</v>
      </c>
      <c r="H55" s="187">
        <f t="shared" si="56"/>
        <v>1390108</v>
      </c>
      <c r="I55" s="187">
        <f t="shared" ca="1" si="56"/>
        <v>1500000</v>
      </c>
      <c r="J55" s="364">
        <f t="shared" ref="J55" si="57">SUBTOTAL(109,J56:J56)</f>
        <v>1200000</v>
      </c>
      <c r="K55" s="187">
        <f ca="1">SUBTOTAL(109,K56:K56)</f>
        <v>-190108</v>
      </c>
      <c r="L55" s="187">
        <f ca="1">SUBTOTAL(109,L56:L56)</f>
        <v>1390108</v>
      </c>
      <c r="M55" s="187">
        <f ca="1">SUBTOTAL(109,M56:M56)</f>
        <v>874909.71</v>
      </c>
      <c r="N55" s="187">
        <f ca="1">SUBTOTAL(109,N56:N56)</f>
        <v>874909.71</v>
      </c>
      <c r="O55" s="187">
        <f ca="1">SUBTOTAL(109,O56:O56)</f>
        <v>190108</v>
      </c>
      <c r="P55" s="188">
        <f t="shared" ref="P55:P58" ca="1" si="58">I55/H55</f>
        <v>1.0790528505698838</v>
      </c>
      <c r="Q55" s="188">
        <f t="shared" ca="1" si="4"/>
        <v>1</v>
      </c>
      <c r="R55" s="188">
        <f t="shared" ca="1" si="5"/>
        <v>0.62938254437784691</v>
      </c>
      <c r="S55" s="188">
        <f t="shared" ca="1" si="6"/>
        <v>0.62938254437784691</v>
      </c>
      <c r="AA55" s="67"/>
    </row>
    <row r="56" spans="1:29" ht="30" x14ac:dyDescent="0.25">
      <c r="A56" s="189" t="s">
        <v>137</v>
      </c>
      <c r="B56" s="197" t="s">
        <v>16</v>
      </c>
      <c r="C56" s="190">
        <v>1500000</v>
      </c>
      <c r="D56" s="190">
        <v>1390108</v>
      </c>
      <c r="E56" s="191">
        <v>1390108</v>
      </c>
      <c r="F56" s="191"/>
      <c r="G56" s="191"/>
      <c r="H56" s="191">
        <f>E56-G56-F56</f>
        <v>1390108</v>
      </c>
      <c r="I56" s="392">
        <f ca="1">SUMIFS(INDIRECT($U56 &amp; W$8),INDIRECT($U56 &amp; "B3:B200"),$V56,INDIRECT($U56 &amp; "D3:D200"),$B56)</f>
        <v>1500000</v>
      </c>
      <c r="J56" s="244">
        <v>1200000</v>
      </c>
      <c r="K56" s="190">
        <f ca="1">J56-L56</f>
        <v>-190108</v>
      </c>
      <c r="L56" s="191">
        <f ca="1">SUMIFS(INDIRECT($U56 &amp; X$8),INDIRECT($U56 &amp; "B3:B200"),$V56,INDIRECT($U56 &amp; "D3:D200"),$B56)</f>
        <v>1390108</v>
      </c>
      <c r="M56" s="191">
        <f ca="1">SUMIFS(INDIRECT($U56 &amp; Y$8),INDIRECT($U56 &amp; "B3:B200"),$V56,INDIRECT($U56 &amp; "D3:D200"),$B56)</f>
        <v>874909.71</v>
      </c>
      <c r="N56" s="210">
        <f ca="1">SUMIFS(INDIRECT($U56 &amp; Z$8),INDIRECT($U56 &amp; "B3:B200"),$V56,INDIRECT($U56 &amp; "D3:D200"),$B56)</f>
        <v>874909.71</v>
      </c>
      <c r="O56" s="224">
        <f t="shared" ca="1" si="53"/>
        <v>190108</v>
      </c>
      <c r="P56" s="192">
        <f t="shared" ca="1" si="58"/>
        <v>1.0790528505698838</v>
      </c>
      <c r="Q56" s="192">
        <f ca="1">L56/H56</f>
        <v>1</v>
      </c>
      <c r="R56" s="192">
        <f ca="1">M56/H56</f>
        <v>0.62938254437784691</v>
      </c>
      <c r="S56" s="192">
        <f ca="1">N56/H56</f>
        <v>0.62938254437784691</v>
      </c>
      <c r="T56" s="199"/>
      <c r="U56" s="200" t="s">
        <v>138</v>
      </c>
      <c r="V56" s="202" t="str">
        <f>IF(A56="",LEFT(A55,4),LEFT(A56,4))</f>
        <v>0000</v>
      </c>
      <c r="W56" s="199"/>
      <c r="X56" s="199"/>
      <c r="Y56" s="199"/>
      <c r="Z56" s="199"/>
      <c r="AA56" s="67">
        <f t="shared" ca="1" si="18"/>
        <v>-109892</v>
      </c>
      <c r="AB56" s="199"/>
      <c r="AC56" s="199"/>
    </row>
    <row r="57" spans="1:29" ht="24.95" customHeight="1" x14ac:dyDescent="0.25">
      <c r="A57" s="186" t="s">
        <v>139</v>
      </c>
      <c r="B57" s="196"/>
      <c r="C57" s="187">
        <f>SUBTOTAL(109,C58:C58)</f>
        <v>1000000</v>
      </c>
      <c r="D57" s="187">
        <f t="shared" ref="D57:O57" si="59">SUBTOTAL(109,D58:D58)</f>
        <v>985707</v>
      </c>
      <c r="E57" s="187">
        <f t="shared" si="59"/>
        <v>985707</v>
      </c>
      <c r="F57" s="187">
        <f>SUBTOTAL(109,F58:F58)</f>
        <v>985707</v>
      </c>
      <c r="G57" s="187">
        <f>SUBTOTAL(109,G58:G58)</f>
        <v>0</v>
      </c>
      <c r="H57" s="187">
        <f>SUBTOTAL(109,H58:H58)</f>
        <v>0</v>
      </c>
      <c r="I57" s="187">
        <f>SUBTOTAL(109,I58:I58)</f>
        <v>0</v>
      </c>
      <c r="J57" s="364">
        <f t="shared" si="59"/>
        <v>0</v>
      </c>
      <c r="K57" s="187">
        <f>SUBTOTAL(109,K58:K58)</f>
        <v>0</v>
      </c>
      <c r="L57" s="187">
        <f t="shared" si="59"/>
        <v>0</v>
      </c>
      <c r="M57" s="187">
        <f t="shared" si="59"/>
        <v>0</v>
      </c>
      <c r="N57" s="187">
        <f t="shared" si="59"/>
        <v>0</v>
      </c>
      <c r="O57" s="187">
        <f t="shared" si="59"/>
        <v>0</v>
      </c>
      <c r="P57" s="188" t="e">
        <f t="shared" si="58"/>
        <v>#DIV/0!</v>
      </c>
      <c r="Q57" s="188" t="e">
        <f t="shared" si="4"/>
        <v>#DIV/0!</v>
      </c>
      <c r="R57" s="188" t="e">
        <f t="shared" si="5"/>
        <v>#DIV/0!</v>
      </c>
      <c r="S57" s="188" t="e">
        <f t="shared" si="6"/>
        <v>#DIV/0!</v>
      </c>
      <c r="T57" s="199"/>
      <c r="U57" s="199"/>
      <c r="V57" s="199"/>
      <c r="W57" s="199"/>
      <c r="X57" s="199"/>
      <c r="Y57" s="199"/>
      <c r="Z57" s="199"/>
      <c r="AA57" s="67">
        <f t="shared" si="18"/>
        <v>0</v>
      </c>
      <c r="AB57" s="199"/>
      <c r="AC57" s="199"/>
    </row>
    <row r="58" spans="1:29" ht="24.95" customHeight="1" x14ac:dyDescent="0.25">
      <c r="A58" s="193" t="s">
        <v>140</v>
      </c>
      <c r="B58" s="164" t="s">
        <v>16</v>
      </c>
      <c r="C58" s="191">
        <v>1000000</v>
      </c>
      <c r="D58" s="191">
        <v>985707</v>
      </c>
      <c r="E58" s="191">
        <v>985707</v>
      </c>
      <c r="F58" s="191">
        <v>985707</v>
      </c>
      <c r="G58" s="191"/>
      <c r="H58" s="191">
        <f>E58-G58-F58</f>
        <v>0</v>
      </c>
      <c r="I58" s="191"/>
      <c r="J58" s="244"/>
      <c r="K58" s="190">
        <f>J58-L58</f>
        <v>0</v>
      </c>
      <c r="L58" s="191"/>
      <c r="M58" s="191"/>
      <c r="N58" s="210"/>
      <c r="O58" s="224">
        <f>H58-K58</f>
        <v>0</v>
      </c>
      <c r="P58" s="192" t="e">
        <f t="shared" si="58"/>
        <v>#DIV/0!</v>
      </c>
      <c r="Q58" s="192" t="e">
        <f t="shared" si="4"/>
        <v>#DIV/0!</v>
      </c>
      <c r="R58" s="192" t="e">
        <f t="shared" si="5"/>
        <v>#DIV/0!</v>
      </c>
      <c r="S58" s="192" t="e">
        <f t="shared" si="6"/>
        <v>#DIV/0!</v>
      </c>
      <c r="T58" s="199"/>
      <c r="U58" s="200" t="s">
        <v>141</v>
      </c>
      <c r="V58" s="201" t="s">
        <v>14</v>
      </c>
      <c r="W58" s="199"/>
      <c r="X58" s="199"/>
      <c r="Y58" s="199"/>
      <c r="Z58" s="199"/>
      <c r="AA58" s="67">
        <f t="shared" si="18"/>
        <v>0</v>
      </c>
      <c r="AB58" s="199"/>
      <c r="AC58" s="199"/>
    </row>
    <row r="59" spans="1:29" ht="15" customHeight="1" x14ac:dyDescent="0.25">
      <c r="R59" s="55"/>
    </row>
    <row r="60" spans="1:29" ht="15" customHeight="1" x14ac:dyDescent="0.25">
      <c r="R60" s="55"/>
    </row>
    <row r="61" spans="1:29" ht="15" customHeight="1" x14ac:dyDescent="0.25">
      <c r="R61" s="55"/>
    </row>
    <row r="62" spans="1:29" ht="15" customHeight="1" x14ac:dyDescent="0.25">
      <c r="R62" s="55"/>
    </row>
    <row r="63" spans="1:29" ht="15" customHeight="1" x14ac:dyDescent="0.25">
      <c r="R63" s="55"/>
    </row>
    <row r="64" spans="1:29" ht="15" customHeight="1" x14ac:dyDescent="0.25">
      <c r="R64" s="55"/>
    </row>
    <row r="65" spans="18:18" ht="15" customHeight="1" x14ac:dyDescent="0.25">
      <c r="R65" s="55"/>
    </row>
    <row r="66" spans="18:18" ht="15" customHeight="1" x14ac:dyDescent="0.25">
      <c r="R66" s="55"/>
    </row>
    <row r="67" spans="18:18" ht="15" customHeight="1" x14ac:dyDescent="0.25">
      <c r="R67" s="55"/>
    </row>
    <row r="68" spans="18:18" ht="15" customHeight="1" x14ac:dyDescent="0.25">
      <c r="R68" s="55"/>
    </row>
    <row r="69" spans="18:18" ht="15" customHeight="1" x14ac:dyDescent="0.25">
      <c r="R69" s="55"/>
    </row>
    <row r="70" spans="18:18" ht="15" customHeight="1" x14ac:dyDescent="0.25">
      <c r="R70" s="55"/>
    </row>
  </sheetData>
  <sheetProtection algorithmName="SHA-512" hashValue="LL6F5TWt43FY1IRd2o8n86xD7nms5doRug+Fz9PU8SeuPN1NLfB0QQl4QFEa13OofFZ0Cx4T6yt26IXff7k3oA==" saltValue="hrYjG0EynGB0oLRXNnvazw==" spinCount="100000" sheet="1" objects="1" scenarios="1" formatCells="0" formatColumns="0" formatRows="0" insertColumns="0" insertRows="0" insertHyperlinks="0" deleteColumns="0" deleteRows="0" sort="0" autoFilter="0" pivotTables="0"/>
  <mergeCells count="14">
    <mergeCell ref="L7:S7"/>
    <mergeCell ref="A46:A47"/>
    <mergeCell ref="A51:A52"/>
    <mergeCell ref="A53:A54"/>
    <mergeCell ref="A30:A31"/>
    <mergeCell ref="A35:A36"/>
    <mergeCell ref="A37:A38"/>
    <mergeCell ref="A39:A40"/>
    <mergeCell ref="A27:A28"/>
    <mergeCell ref="A1:H1"/>
    <mergeCell ref="B2:H2"/>
    <mergeCell ref="A2:A3"/>
    <mergeCell ref="A5:H5"/>
    <mergeCell ref="A7:I7"/>
  </mergeCells>
  <printOptions horizontalCentered="1"/>
  <pageMargins left="0.25" right="0.25" top="0.75" bottom="0.75" header="0.3" footer="0.3"/>
  <pageSetup paperSize="9" scale="4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49F3-C2E4-40A0-90CF-BC5ECA4A94BF}">
  <sheetPr>
    <pageSetUpPr fitToPage="1"/>
  </sheetPr>
  <dimension ref="A1:S17"/>
  <sheetViews>
    <sheetView workbookViewId="0">
      <pane xSplit="5" ySplit="2" topLeftCell="H3" activePane="bottomRight" state="frozen"/>
      <selection pane="topRight"/>
      <selection pane="bottomLeft"/>
      <selection pane="bottomRight" activeCell="D18" sqref="D18"/>
    </sheetView>
  </sheetViews>
  <sheetFormatPr defaultColWidth="8.7109375" defaultRowHeight="26.25" customHeight="1" x14ac:dyDescent="0.4"/>
  <cols>
    <col min="1" max="1" width="8.7109375" style="14"/>
    <col min="2" max="2" width="10.28515625" style="7" customWidth="1"/>
    <col min="3" max="3" width="13.140625" style="7" customWidth="1"/>
    <col min="4" max="4" width="12.140625" style="7" customWidth="1"/>
    <col min="5" max="5" width="29.140625" style="4" customWidth="1"/>
    <col min="6" max="6" width="14.5703125" style="10" customWidth="1"/>
    <col min="7" max="7" width="15.85546875" style="4" customWidth="1"/>
    <col min="8" max="9" width="15.140625" style="4" customWidth="1"/>
    <col min="10" max="10" width="16.140625" style="4" customWidth="1"/>
    <col min="11" max="11" width="21" style="4" customWidth="1"/>
    <col min="12" max="15" width="16.140625" style="4" customWidth="1"/>
    <col min="16" max="17" width="16.140625" style="4" hidden="1" customWidth="1"/>
    <col min="18" max="18" width="8.7109375" style="4"/>
    <col min="19" max="19" width="10.85546875" style="4" customWidth="1"/>
    <col min="20" max="16384" width="8.7109375" style="4"/>
  </cols>
  <sheetData>
    <row r="1" spans="1:19" ht="20.45" customHeight="1" x14ac:dyDescent="0.2">
      <c r="A1" s="610" t="s">
        <v>142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</row>
    <row r="2" spans="1:19" s="7" customFormat="1" ht="30.95" customHeight="1" x14ac:dyDescent="0.2">
      <c r="A2" s="159" t="s">
        <v>1</v>
      </c>
      <c r="B2" s="160" t="s">
        <v>3</v>
      </c>
      <c r="C2" s="159" t="s">
        <v>143</v>
      </c>
      <c r="D2" s="159" t="s">
        <v>144</v>
      </c>
      <c r="E2" s="161" t="s">
        <v>4</v>
      </c>
      <c r="F2" s="161" t="s">
        <v>145</v>
      </c>
      <c r="G2" s="161" t="s">
        <v>146</v>
      </c>
      <c r="H2" s="161" t="s">
        <v>147</v>
      </c>
      <c r="I2" s="161" t="s">
        <v>148</v>
      </c>
      <c r="J2" s="161" t="s">
        <v>149</v>
      </c>
      <c r="K2" s="161" t="s">
        <v>150</v>
      </c>
      <c r="L2" s="162" t="s">
        <v>151</v>
      </c>
      <c r="M2" s="163" t="s">
        <v>81</v>
      </c>
      <c r="N2" s="163" t="s">
        <v>82</v>
      </c>
      <c r="O2" s="163" t="s">
        <v>83</v>
      </c>
      <c r="P2" s="159" t="s">
        <v>152</v>
      </c>
      <c r="Q2" s="170" t="s">
        <v>11</v>
      </c>
    </row>
    <row r="3" spans="1:19" ht="24" x14ac:dyDescent="0.2">
      <c r="A3" s="609" t="s">
        <v>12</v>
      </c>
      <c r="B3" s="171" t="s">
        <v>14</v>
      </c>
      <c r="C3" s="171" t="s">
        <v>153</v>
      </c>
      <c r="D3" s="164" t="s">
        <v>42</v>
      </c>
      <c r="E3" s="172" t="s">
        <v>154</v>
      </c>
      <c r="F3" s="164" t="s">
        <v>155</v>
      </c>
      <c r="G3" s="166" t="s">
        <v>156</v>
      </c>
      <c r="H3" s="164" t="s">
        <v>157</v>
      </c>
      <c r="I3" s="173" t="s">
        <v>158</v>
      </c>
      <c r="J3" s="164" t="s">
        <v>159</v>
      </c>
      <c r="K3" s="164" t="s">
        <v>155</v>
      </c>
      <c r="L3" s="167">
        <v>30065065</v>
      </c>
      <c r="M3" s="548">
        <v>30695766.66</v>
      </c>
      <c r="N3" s="548">
        <v>19889117.09</v>
      </c>
      <c r="O3" s="548">
        <v>19481125.940000001</v>
      </c>
      <c r="P3" s="164"/>
      <c r="Q3" s="248"/>
      <c r="S3" s="82"/>
    </row>
    <row r="4" spans="1:19" ht="24.6" customHeight="1" x14ac:dyDescent="0.2">
      <c r="A4" s="609"/>
      <c r="B4" s="171" t="s">
        <v>14</v>
      </c>
      <c r="C4" s="171"/>
      <c r="D4" s="164" t="s">
        <v>18</v>
      </c>
      <c r="E4" s="172" t="s">
        <v>154</v>
      </c>
      <c r="F4" s="164" t="s">
        <v>155</v>
      </c>
      <c r="G4" s="166" t="s">
        <v>156</v>
      </c>
      <c r="H4" s="164" t="s">
        <v>157</v>
      </c>
      <c r="I4" s="173" t="s">
        <v>158</v>
      </c>
      <c r="J4" s="164" t="s">
        <v>159</v>
      </c>
      <c r="K4" s="164" t="s">
        <v>155</v>
      </c>
      <c r="L4" s="174">
        <v>1000000</v>
      </c>
      <c r="M4" s="167">
        <v>168239</v>
      </c>
      <c r="N4" s="167">
        <v>160319</v>
      </c>
      <c r="O4" s="167">
        <v>160319</v>
      </c>
      <c r="P4" s="164"/>
      <c r="Q4" s="248"/>
    </row>
    <row r="5" spans="1:19" ht="36" x14ac:dyDescent="0.2">
      <c r="A5" s="609"/>
      <c r="B5" s="171" t="s">
        <v>20</v>
      </c>
      <c r="C5" s="171"/>
      <c r="D5" s="164" t="s">
        <v>42</v>
      </c>
      <c r="E5" s="172" t="s">
        <v>131</v>
      </c>
      <c r="F5" s="164" t="s">
        <v>155</v>
      </c>
      <c r="G5" s="166" t="s">
        <v>156</v>
      </c>
      <c r="H5" s="164" t="s">
        <v>157</v>
      </c>
      <c r="I5" s="173" t="s">
        <v>158</v>
      </c>
      <c r="J5" s="164" t="s">
        <v>159</v>
      </c>
      <c r="K5" s="164" t="s">
        <v>155</v>
      </c>
      <c r="L5" s="174">
        <v>526737</v>
      </c>
      <c r="M5" s="167">
        <v>466789.99</v>
      </c>
      <c r="N5" s="167">
        <v>338040.49</v>
      </c>
      <c r="O5" s="167">
        <v>338040.49</v>
      </c>
      <c r="P5" s="164"/>
      <c r="Q5" s="248"/>
    </row>
    <row r="6" spans="1:19" ht="24" x14ac:dyDescent="0.2">
      <c r="A6" s="609"/>
      <c r="B6" s="171" t="s">
        <v>24</v>
      </c>
      <c r="C6" s="171"/>
      <c r="D6" s="164" t="s">
        <v>42</v>
      </c>
      <c r="E6" s="172" t="s">
        <v>132</v>
      </c>
      <c r="F6" s="164" t="s">
        <v>155</v>
      </c>
      <c r="G6" s="166" t="s">
        <v>156</v>
      </c>
      <c r="H6" s="164" t="s">
        <v>157</v>
      </c>
      <c r="I6" s="173" t="s">
        <v>158</v>
      </c>
      <c r="J6" s="164" t="s">
        <v>159</v>
      </c>
      <c r="K6" s="164" t="s">
        <v>155</v>
      </c>
      <c r="L6" s="174">
        <v>1500000</v>
      </c>
      <c r="M6" s="167">
        <v>371386.4</v>
      </c>
      <c r="N6" s="167">
        <v>349478.89</v>
      </c>
      <c r="O6" s="167">
        <v>349478.89</v>
      </c>
      <c r="P6" s="164"/>
      <c r="Q6" s="248"/>
    </row>
    <row r="7" spans="1:19" ht="24.6" customHeight="1" x14ac:dyDescent="0.2">
      <c r="A7" s="609"/>
      <c r="B7" s="171" t="s">
        <v>28</v>
      </c>
      <c r="C7" s="171"/>
      <c r="D7" s="164" t="s">
        <v>42</v>
      </c>
      <c r="E7" s="172" t="s">
        <v>133</v>
      </c>
      <c r="F7" s="164" t="s">
        <v>155</v>
      </c>
      <c r="G7" s="166" t="s">
        <v>156</v>
      </c>
      <c r="H7" s="164" t="s">
        <v>157</v>
      </c>
      <c r="I7" s="173" t="s">
        <v>158</v>
      </c>
      <c r="J7" s="164" t="s">
        <v>159</v>
      </c>
      <c r="K7" s="164" t="s">
        <v>155</v>
      </c>
      <c r="L7" s="167">
        <v>1000000</v>
      </c>
      <c r="M7" s="167">
        <v>456000</v>
      </c>
      <c r="N7" s="167">
        <v>410439.79</v>
      </c>
      <c r="O7" s="167">
        <v>410439.79</v>
      </c>
      <c r="P7" s="164"/>
      <c r="Q7" s="248"/>
    </row>
    <row r="8" spans="1:19" ht="24" x14ac:dyDescent="0.2">
      <c r="A8" s="609"/>
      <c r="B8" s="171" t="s">
        <v>32</v>
      </c>
      <c r="C8" s="171"/>
      <c r="D8" s="164" t="s">
        <v>42</v>
      </c>
      <c r="E8" s="172" t="s">
        <v>134</v>
      </c>
      <c r="F8" s="164" t="s">
        <v>155</v>
      </c>
      <c r="G8" s="166" t="s">
        <v>156</v>
      </c>
      <c r="H8" s="164" t="s">
        <v>157</v>
      </c>
      <c r="I8" s="173" t="s">
        <v>158</v>
      </c>
      <c r="J8" s="164" t="s">
        <v>159</v>
      </c>
      <c r="K8" s="164" t="s">
        <v>155</v>
      </c>
      <c r="L8" s="174">
        <v>1400000</v>
      </c>
      <c r="M8" s="167">
        <v>450471.58</v>
      </c>
      <c r="N8" s="167">
        <v>101171.82</v>
      </c>
      <c r="O8" s="167">
        <v>101171.82</v>
      </c>
      <c r="P8" s="164"/>
      <c r="Q8" s="248"/>
    </row>
    <row r="9" spans="1:19" ht="24.6" customHeight="1" x14ac:dyDescent="0.2">
      <c r="A9" s="609"/>
      <c r="B9" s="171" t="s">
        <v>32</v>
      </c>
      <c r="C9" s="171"/>
      <c r="D9" s="164" t="s">
        <v>18</v>
      </c>
      <c r="E9" s="172" t="s">
        <v>134</v>
      </c>
      <c r="F9" s="164" t="s">
        <v>155</v>
      </c>
      <c r="G9" s="166" t="s">
        <v>156</v>
      </c>
      <c r="H9" s="164" t="s">
        <v>157</v>
      </c>
      <c r="I9" s="173" t="s">
        <v>158</v>
      </c>
      <c r="J9" s="164" t="s">
        <v>159</v>
      </c>
      <c r="K9" s="164" t="s">
        <v>155</v>
      </c>
      <c r="L9" s="174">
        <v>1000000</v>
      </c>
      <c r="M9" s="167">
        <v>5547.55</v>
      </c>
      <c r="N9" s="167"/>
      <c r="O9" s="167"/>
      <c r="P9" s="164"/>
      <c r="Q9" s="248"/>
    </row>
    <row r="10" spans="1:19" ht="24.6" customHeight="1" x14ac:dyDescent="0.2">
      <c r="A10" s="609"/>
      <c r="B10" s="171" t="s">
        <v>35</v>
      </c>
      <c r="C10" s="171"/>
      <c r="D10" s="164" t="s">
        <v>42</v>
      </c>
      <c r="E10" s="172" t="s">
        <v>135</v>
      </c>
      <c r="F10" s="164" t="s">
        <v>155</v>
      </c>
      <c r="G10" s="166" t="s">
        <v>156</v>
      </c>
      <c r="H10" s="164" t="s">
        <v>157</v>
      </c>
      <c r="I10" s="173" t="s">
        <v>158</v>
      </c>
      <c r="J10" s="164" t="s">
        <v>159</v>
      </c>
      <c r="K10" s="164" t="s">
        <v>155</v>
      </c>
      <c r="L10" s="174">
        <v>1000000</v>
      </c>
      <c r="M10" s="167">
        <v>811290.66</v>
      </c>
      <c r="N10" s="167"/>
      <c r="O10" s="167"/>
      <c r="P10" s="164"/>
      <c r="Q10" s="248"/>
    </row>
    <row r="11" spans="1:19" ht="24.6" customHeight="1" x14ac:dyDescent="0.2">
      <c r="A11" s="609"/>
      <c r="B11" s="171" t="s">
        <v>35</v>
      </c>
      <c r="C11" s="171"/>
      <c r="D11" s="164" t="s">
        <v>18</v>
      </c>
      <c r="E11" s="172" t="s">
        <v>135</v>
      </c>
      <c r="F11" s="164" t="s">
        <v>155</v>
      </c>
      <c r="G11" s="166" t="s">
        <v>156</v>
      </c>
      <c r="H11" s="164" t="s">
        <v>157</v>
      </c>
      <c r="I11" s="173" t="s">
        <v>158</v>
      </c>
      <c r="J11" s="164" t="s">
        <v>159</v>
      </c>
      <c r="K11" s="164" t="s">
        <v>155</v>
      </c>
      <c r="L11" s="167">
        <v>1000000</v>
      </c>
      <c r="M11" s="167">
        <v>10349.969999999999</v>
      </c>
      <c r="N11" s="167">
        <v>4199.99</v>
      </c>
      <c r="O11" s="167">
        <v>4199.99</v>
      </c>
      <c r="P11" s="164"/>
      <c r="Q11" s="248"/>
    </row>
    <row r="12" spans="1:19" ht="24.6" customHeight="1" x14ac:dyDescent="0.2">
      <c r="A12" s="609"/>
      <c r="B12" s="171"/>
      <c r="C12" s="171"/>
      <c r="D12" s="164"/>
      <c r="E12" s="172"/>
      <c r="F12" s="164"/>
      <c r="G12" s="166"/>
      <c r="H12" s="164"/>
      <c r="I12" s="164"/>
      <c r="J12" s="164"/>
      <c r="K12" s="164"/>
      <c r="L12" s="175"/>
      <c r="M12" s="167"/>
      <c r="N12" s="167"/>
      <c r="O12" s="167"/>
      <c r="P12" s="164"/>
      <c r="Q12" s="172"/>
    </row>
    <row r="13" spans="1:19" ht="15.75" customHeight="1" x14ac:dyDescent="0.2">
      <c r="A13" s="609"/>
      <c r="B13" s="611"/>
      <c r="C13" s="611"/>
      <c r="D13" s="611"/>
      <c r="E13" s="611"/>
      <c r="F13" s="611"/>
      <c r="G13" s="612" t="s">
        <v>50</v>
      </c>
      <c r="H13" s="612"/>
      <c r="I13" s="612"/>
      <c r="J13" s="612"/>
      <c r="K13" s="612"/>
      <c r="L13" s="168">
        <f>SUM(L3:L12)</f>
        <v>38491802</v>
      </c>
      <c r="M13" s="169">
        <f>SUM(M3:M12)</f>
        <v>33435841.809999995</v>
      </c>
      <c r="N13" s="169">
        <f>SUM(N3:N12)</f>
        <v>21252767.069999997</v>
      </c>
      <c r="O13" s="169">
        <f>SUM(O3:O12)</f>
        <v>20844775.919999998</v>
      </c>
      <c r="P13" s="613"/>
      <c r="Q13" s="613"/>
    </row>
    <row r="14" spans="1:19" ht="15.75" customHeight="1" x14ac:dyDescent="0.2">
      <c r="A14" s="609"/>
      <c r="B14" s="611"/>
      <c r="C14" s="611"/>
      <c r="D14" s="611"/>
      <c r="E14" s="611"/>
      <c r="F14" s="611"/>
      <c r="G14" s="612" t="s">
        <v>160</v>
      </c>
      <c r="H14" s="612"/>
      <c r="I14" s="612"/>
      <c r="J14" s="612"/>
      <c r="K14" s="612"/>
      <c r="L14" s="614">
        <f>'Consolidado 2026'!H45</f>
        <v>36121393</v>
      </c>
      <c r="M14" s="614"/>
      <c r="N14" s="614"/>
      <c r="O14" s="614"/>
      <c r="P14" s="613"/>
      <c r="Q14" s="613"/>
    </row>
    <row r="15" spans="1:19" ht="18.75" customHeight="1" x14ac:dyDescent="0.2">
      <c r="A15" s="609"/>
      <c r="B15" s="611"/>
      <c r="C15" s="611"/>
      <c r="D15" s="611"/>
      <c r="E15" s="611"/>
      <c r="F15" s="611"/>
      <c r="G15" s="612" t="s">
        <v>161</v>
      </c>
      <c r="H15" s="612"/>
      <c r="I15" s="612"/>
      <c r="J15" s="612"/>
      <c r="K15" s="612"/>
      <c r="L15" s="615">
        <f>L13/L14</f>
        <v>1.0656234104814286</v>
      </c>
      <c r="M15" s="615"/>
      <c r="N15" s="615"/>
      <c r="O15" s="615"/>
      <c r="P15" s="613"/>
      <c r="Q15" s="613"/>
    </row>
    <row r="16" spans="1:19" x14ac:dyDescent="0.2">
      <c r="A16" s="13"/>
      <c r="B16" s="125"/>
      <c r="C16" s="125"/>
      <c r="D16" s="125"/>
      <c r="E16" s="6"/>
      <c r="F16" s="9"/>
      <c r="G16" s="122"/>
      <c r="H16" s="123"/>
      <c r="I16" s="123"/>
      <c r="J16" s="3"/>
      <c r="L16" s="82"/>
    </row>
    <row r="17" spans="12:16" ht="26.25" customHeight="1" x14ac:dyDescent="0.4">
      <c r="L17" s="82"/>
      <c r="M17" s="82"/>
      <c r="N17" s="82"/>
      <c r="O17" s="82"/>
      <c r="P17" s="82">
        <v>267237.57</v>
      </c>
    </row>
  </sheetData>
  <mergeCells count="9">
    <mergeCell ref="A3:A15"/>
    <mergeCell ref="A1:Q1"/>
    <mergeCell ref="B13:F15"/>
    <mergeCell ref="G13:K13"/>
    <mergeCell ref="P13:Q15"/>
    <mergeCell ref="G14:K14"/>
    <mergeCell ref="L14:O14"/>
    <mergeCell ref="G15:K15"/>
    <mergeCell ref="L15:O15"/>
  </mergeCells>
  <pageMargins left="0.511811024" right="0.511811024" top="0.78740157499999996" bottom="0.78740157499999996" header="0.31496062000000002" footer="0.31496062000000002"/>
  <pageSetup paperSize="8" scale="83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5" operator="containsText" id="{182CFB5A-C07A-42FC-BEE3-437614469E4D}">
            <xm:f>NOT(ISERROR(SEARCH(Planilha1!$B$9,P3)))</xm:f>
            <xm:f>Planilha1!$B$9</xm:f>
            <x14:dxf>
              <font>
                <color theme="0"/>
              </font>
              <fill>
                <patternFill patternType="solid">
                  <bgColor theme="9" tint="-0.249977111117893"/>
                </patternFill>
              </fill>
            </x14:dxf>
          </x14:cfRule>
          <x14:cfRule type="containsText" priority="156" operator="containsText" id="{F41359AD-1130-40C6-89ED-684639010218}">
            <xm:f>NOT(ISERROR(SEARCH(Planilha1!$B$8,P3)))</xm:f>
            <xm:f>Planilha1!$B$8</xm:f>
            <x14:dxf>
              <font>
                <color theme="1"/>
              </font>
              <fill>
                <patternFill patternType="solid">
                  <bgColor theme="9" tint="0.39997558519241921"/>
                </patternFill>
              </fill>
            </x14:dxf>
          </x14:cfRule>
          <x14:cfRule type="containsText" priority="157" operator="containsText" id="{D5E3FFB9-D12C-4A44-B13A-B77BCBEE32C5}">
            <xm:f>NOT(ISERROR(SEARCH(Planilha1!$B$6,P3)))</xm:f>
            <xm:f>Planilha1!$B$6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58" operator="containsText" id="{7C2A7104-6A77-4FA0-BC9D-689A87BD8D8F}">
            <xm:f>NOT(ISERROR(SEARCH(Planilha1!#REF!,P3)))</xm:f>
            <xm:f>Planilha1!#REF!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59" operator="containsText" id="{10D09EFC-27A7-4C75-8B7A-115984141674}">
            <xm:f>NOT(ISERROR(SEARCH(Planilha1!#REF!,P3)))</xm:f>
            <xm:f>Planilha1!#REF!</xm:f>
            <x14:dxf>
              <font>
                <color theme="5" tint="-0.499984740745262"/>
              </font>
              <fill>
                <patternFill patternType="solid">
                  <bgColor rgb="FFF4FFB8"/>
                </patternFill>
              </fill>
            </x14:dxf>
          </x14:cfRule>
          <x14:cfRule type="containsText" priority="160" operator="containsText" id="{4F403091-CA2D-4DEF-BF3B-25DCC84CCE6C}">
            <xm:f>NOT(ISERROR(SEARCH(Planilha1!$B$4,P3)))</xm:f>
            <xm:f>Planilha1!$B$4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61" operator="containsText" id="{5003A1ED-8B33-452B-BCA2-C622C01A12AF}">
            <xm:f>NOT(ISERROR(SEARCH(Planilha1!$B$5,P3)))</xm:f>
            <xm:f>Planilha1!$B$5</xm:f>
            <x14:dxf>
              <font>
                <color rgb="FFC00000"/>
              </font>
              <fill>
                <patternFill patternType="solid">
                  <bgColor rgb="FFFFC7CE"/>
                </patternFill>
              </fill>
            </x14:dxf>
          </x14:cfRule>
          <xm:sqref>P3:P12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E6430F7-BE61-46C5-9D12-7F0F4E20B028}">
          <x14:formula1>
            <xm:f>Planilha1!$B$4:$B$9</xm:f>
          </x14:formula1>
          <xm:sqref>P3:P12</xm:sqref>
        </x14:dataValidation>
        <x14:dataValidation type="list" allowBlank="1" showInputMessage="1" showErrorMessage="1" xr:uid="{0CC2881A-3811-4C2A-8A72-DE80DA7B3D30}">
          <x14:formula1>
            <xm:f>'Consolidado 2026'!$B$15:$B$15</xm:f>
          </x14:formula1>
          <xm:sqref>D9 D4 D11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AECD-D293-4964-9273-D436EB67D26D}">
  <sheetPr>
    <pageSetUpPr fitToPage="1"/>
  </sheetPr>
  <dimension ref="A1:P13"/>
  <sheetViews>
    <sheetView topLeftCell="G1" workbookViewId="0">
      <selection activeCell="N20" sqref="N20"/>
    </sheetView>
  </sheetViews>
  <sheetFormatPr defaultColWidth="8.7109375" defaultRowHeight="26.25" customHeight="1" x14ac:dyDescent="0.2"/>
  <cols>
    <col min="1" max="1" width="13.140625" style="7" customWidth="1"/>
    <col min="2" max="2" width="12.140625" style="7" customWidth="1"/>
    <col min="3" max="3" width="14.7109375" style="4" customWidth="1"/>
    <col min="4" max="4" width="14.5703125" style="10" customWidth="1"/>
    <col min="5" max="5" width="15.85546875" style="4" customWidth="1"/>
    <col min="6" max="6" width="21.42578125" style="4" customWidth="1"/>
    <col min="7" max="7" width="23.28515625" style="4" customWidth="1"/>
    <col min="8" max="8" width="25.42578125" style="4" customWidth="1"/>
    <col min="9" max="9" width="12.42578125" style="4" customWidth="1"/>
    <col min="10" max="11" width="8.7109375" style="4"/>
    <col min="12" max="12" width="19.28515625" style="4" customWidth="1"/>
    <col min="13" max="15" width="19.140625" style="4" customWidth="1"/>
    <col min="16" max="16" width="21.28515625" style="4" customWidth="1"/>
    <col min="17" max="16384" width="8.7109375" style="4"/>
  </cols>
  <sheetData>
    <row r="1" spans="1:16" ht="12" x14ac:dyDescent="0.2">
      <c r="A1" s="125"/>
      <c r="B1" s="125"/>
      <c r="C1" s="6"/>
      <c r="D1" s="9"/>
      <c r="E1" s="122"/>
      <c r="F1" s="123"/>
      <c r="G1" s="6"/>
      <c r="H1" s="3"/>
    </row>
    <row r="2" spans="1:16" ht="26.25" customHeight="1" x14ac:dyDescent="0.2">
      <c r="A2" s="610" t="s">
        <v>162</v>
      </c>
      <c r="B2" s="610"/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</row>
    <row r="3" spans="1:16" ht="26.25" customHeight="1" x14ac:dyDescent="0.2">
      <c r="A3" s="159" t="s">
        <v>1</v>
      </c>
      <c r="B3" s="160" t="s">
        <v>3</v>
      </c>
      <c r="C3" s="159" t="s">
        <v>143</v>
      </c>
      <c r="D3" s="159" t="s">
        <v>144</v>
      </c>
      <c r="E3" s="161" t="s">
        <v>4</v>
      </c>
      <c r="F3" s="161" t="s">
        <v>145</v>
      </c>
      <c r="G3" s="161" t="s">
        <v>146</v>
      </c>
      <c r="H3" s="161" t="s">
        <v>147</v>
      </c>
      <c r="I3" s="161" t="s">
        <v>148</v>
      </c>
      <c r="J3" s="161" t="s">
        <v>149</v>
      </c>
      <c r="K3" s="161" t="s">
        <v>150</v>
      </c>
      <c r="L3" s="162" t="s">
        <v>151</v>
      </c>
      <c r="M3" s="163" t="s">
        <v>81</v>
      </c>
      <c r="N3" s="163" t="s">
        <v>82</v>
      </c>
      <c r="O3" s="163" t="s">
        <v>83</v>
      </c>
      <c r="P3" s="159" t="s">
        <v>152</v>
      </c>
    </row>
    <row r="4" spans="1:16" ht="26.25" customHeight="1" x14ac:dyDescent="0.2">
      <c r="A4" s="609" t="s">
        <v>12</v>
      </c>
      <c r="B4" s="164" t="s">
        <v>14</v>
      </c>
      <c r="C4" s="164" t="s">
        <v>153</v>
      </c>
      <c r="D4" s="164" t="s">
        <v>16</v>
      </c>
      <c r="E4" s="164" t="s">
        <v>159</v>
      </c>
      <c r="F4" s="165" t="s">
        <v>155</v>
      </c>
      <c r="G4" s="166" t="s">
        <v>156</v>
      </c>
      <c r="H4" s="164" t="s">
        <v>163</v>
      </c>
      <c r="I4" s="164" t="s">
        <v>164</v>
      </c>
      <c r="J4" s="164" t="s">
        <v>159</v>
      </c>
      <c r="K4" s="164" t="s">
        <v>159</v>
      </c>
      <c r="L4" s="225">
        <v>1500000</v>
      </c>
      <c r="M4" s="167">
        <v>1390108</v>
      </c>
      <c r="N4" s="167">
        <v>874909.71</v>
      </c>
      <c r="O4" s="167">
        <v>874909.71</v>
      </c>
      <c r="P4" s="348" t="s">
        <v>165</v>
      </c>
    </row>
    <row r="5" spans="1:16" ht="26.25" customHeight="1" x14ac:dyDescent="0.2">
      <c r="A5" s="609"/>
      <c r="B5" s="252"/>
      <c r="C5" s="252"/>
      <c r="D5" s="164"/>
      <c r="E5" s="164"/>
      <c r="F5" s="165"/>
      <c r="G5" s="166"/>
      <c r="H5" s="164"/>
      <c r="I5" s="164"/>
      <c r="J5" s="248"/>
      <c r="K5" s="164"/>
      <c r="L5" s="225"/>
      <c r="M5" s="167"/>
      <c r="N5" s="167"/>
      <c r="O5" s="167"/>
      <c r="P5" s="164"/>
    </row>
    <row r="6" spans="1:16" ht="26.25" customHeight="1" x14ac:dyDescent="0.2">
      <c r="A6" s="609"/>
      <c r="B6" s="252"/>
      <c r="C6" s="252"/>
      <c r="D6" s="164"/>
      <c r="E6" s="164"/>
      <c r="F6" s="165"/>
      <c r="G6" s="166"/>
      <c r="H6" s="164"/>
      <c r="I6" s="164"/>
      <c r="J6" s="248"/>
      <c r="K6" s="164"/>
      <c r="L6" s="225"/>
      <c r="M6" s="167"/>
      <c r="N6" s="167"/>
      <c r="O6" s="167"/>
      <c r="P6" s="164"/>
    </row>
    <row r="7" spans="1:16" ht="26.25" customHeight="1" x14ac:dyDescent="0.2">
      <c r="A7" s="609"/>
      <c r="B7" s="252"/>
      <c r="C7" s="252"/>
      <c r="D7" s="164"/>
      <c r="E7" s="164"/>
      <c r="F7" s="165"/>
      <c r="G7" s="166"/>
      <c r="H7" s="164"/>
      <c r="I7" s="164"/>
      <c r="J7" s="248"/>
      <c r="K7" s="164"/>
      <c r="L7" s="225"/>
      <c r="M7" s="167"/>
      <c r="N7" s="167"/>
      <c r="O7" s="167"/>
      <c r="P7" s="164"/>
    </row>
    <row r="8" spans="1:16" ht="26.25" customHeight="1" x14ac:dyDescent="0.2">
      <c r="A8" s="609"/>
      <c r="B8" s="611"/>
      <c r="C8" s="611"/>
      <c r="D8" s="611"/>
      <c r="E8" s="611"/>
      <c r="F8" s="611"/>
      <c r="G8" s="612" t="s">
        <v>50</v>
      </c>
      <c r="H8" s="612"/>
      <c r="I8" s="612"/>
      <c r="J8" s="612"/>
      <c r="K8" s="612"/>
      <c r="L8" s="168">
        <f>SUM(L4:L7)</f>
        <v>1500000</v>
      </c>
      <c r="M8" s="169">
        <f>SUM(M4:M7)</f>
        <v>1390108</v>
      </c>
      <c r="N8" s="169">
        <f t="shared" ref="N8:O8" si="0">SUM(N4:N7)</f>
        <v>874909.71</v>
      </c>
      <c r="O8" s="169">
        <f t="shared" si="0"/>
        <v>874909.71</v>
      </c>
      <c r="P8" s="617"/>
    </row>
    <row r="9" spans="1:16" ht="26.25" customHeight="1" x14ac:dyDescent="0.2">
      <c r="A9" s="609"/>
      <c r="B9" s="611"/>
      <c r="C9" s="611"/>
      <c r="D9" s="611"/>
      <c r="E9" s="611"/>
      <c r="F9" s="611"/>
      <c r="G9" s="616" t="s">
        <v>160</v>
      </c>
      <c r="H9" s="612"/>
      <c r="I9" s="612"/>
      <c r="J9" s="612"/>
      <c r="K9" s="612"/>
      <c r="L9" s="614">
        <f>'Consolidado 2026'!H55</f>
        <v>1390108</v>
      </c>
      <c r="M9" s="614"/>
      <c r="N9" s="614"/>
      <c r="O9" s="614"/>
      <c r="P9" s="618"/>
    </row>
    <row r="10" spans="1:16" ht="26.25" customHeight="1" x14ac:dyDescent="0.2">
      <c r="A10" s="609"/>
      <c r="B10" s="611"/>
      <c r="C10" s="611"/>
      <c r="D10" s="611"/>
      <c r="E10" s="611"/>
      <c r="F10" s="611"/>
      <c r="G10" s="612" t="s">
        <v>161</v>
      </c>
      <c r="H10" s="612"/>
      <c r="I10" s="612"/>
      <c r="J10" s="612"/>
      <c r="K10" s="612"/>
      <c r="L10" s="615">
        <f>L8/L9</f>
        <v>1.0790528505698838</v>
      </c>
      <c r="M10" s="615"/>
      <c r="N10" s="615"/>
      <c r="O10" s="615"/>
      <c r="P10" s="619"/>
    </row>
    <row r="12" spans="1:16" ht="26.25" customHeight="1" x14ac:dyDescent="0.2">
      <c r="N12" s="69"/>
    </row>
    <row r="13" spans="1:16" ht="26.25" customHeight="1" x14ac:dyDescent="0.2">
      <c r="L13" s="69"/>
    </row>
  </sheetData>
  <mergeCells count="9">
    <mergeCell ref="A2:P2"/>
    <mergeCell ref="A4:A10"/>
    <mergeCell ref="B8:F10"/>
    <mergeCell ref="G8:K8"/>
    <mergeCell ref="G9:K9"/>
    <mergeCell ref="L9:O9"/>
    <mergeCell ref="G10:K10"/>
    <mergeCell ref="L10:O10"/>
    <mergeCell ref="P8:P10"/>
  </mergeCells>
  <dataValidations count="3">
    <dataValidation type="list" allowBlank="1" showInputMessage="1" showErrorMessage="1" sqref="B1:B1048576" xr:uid="{C8947368-C7DF-4DC1-9C4E-A81DE1771359}">
      <formula1>"0000"</formula1>
    </dataValidation>
    <dataValidation type="list" allowBlank="1" showInputMessage="1" showErrorMessage="1" sqref="C1:C1048576" xr:uid="{C75823BF-175D-4A55-85C4-C341D200C081}">
      <formula1>"2025"</formula1>
    </dataValidation>
    <dataValidation type="list" allowBlank="1" showInputMessage="1" showErrorMessage="1" sqref="D1:D1048576" xr:uid="{D278899D-21CA-450D-9722-2DBB07798104}">
      <formula1>"Despesas correntes"</formula1>
    </dataValidation>
  </dataValidations>
  <pageMargins left="0.511811024" right="0.511811024" top="0.78740157499999996" bottom="0.78740157499999996" header="0.31496062000000002" footer="0.31496062000000002"/>
  <pageSetup paperSize="8" scale="73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2" operator="containsText" id="{0E5F3E2A-252E-462F-A7AB-734A1A3F3E85}">
            <xm:f>NOT(ISERROR(SEARCH(Planilha1!$B$9,P4)))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163" operator="containsText" id="{BD4EFC57-2B91-4B9F-B6C9-3DCA78CDA4EF}">
            <xm:f>NOT(ISERROR(SEARCH(Planilha1!$B$8,P4)))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164" operator="containsText" id="{8F7D75B1-1C53-4849-9C7E-E64ECD379A53}">
            <xm:f>NOT(ISERROR(SEARCH(Planilha1!$B$6,P4)))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67" operator="containsText" id="{028DD502-672B-4969-9EBE-D90ED99AA429}">
            <xm:f>NOT(ISERROR(SEARCH(Planilha1!$B$4,P4)))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68" operator="containsText" id="{5CF6C67C-D8F1-45BC-A8E4-C01B14E3B69B}">
            <xm:f>NOT(ISERROR(SEARCH(Planilha1!$B$5,P4)))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P4:P7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C71A1B-3A10-41A7-8F49-409215941D11}">
          <x14:formula1>
            <xm:f>Planilha1!$B$4:$B$9</xm:f>
          </x14:formula1>
          <xm:sqref>P4:P7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1F89-A5AA-45C3-A0B6-6B39C4C0C446}">
  <sheetPr filterMode="1">
    <pageSetUpPr fitToPage="1"/>
  </sheetPr>
  <dimension ref="A1:Z45"/>
  <sheetViews>
    <sheetView topLeftCell="A13" zoomScale="85" zoomScaleNormal="85" zoomScaleSheetLayoutView="100" workbookViewId="0">
      <pane xSplit="7" topLeftCell="H1" activePane="topRight" state="frozen"/>
      <selection activeCell="A3" sqref="A3"/>
      <selection pane="topRight" activeCell="L53" sqref="L53"/>
    </sheetView>
  </sheetViews>
  <sheetFormatPr defaultColWidth="8.7109375" defaultRowHeight="26.25" customHeight="1" x14ac:dyDescent="0.4"/>
  <cols>
    <col min="1" max="1" width="10.5703125" style="14" customWidth="1"/>
    <col min="2" max="2" width="8.85546875" style="12" bestFit="1" customWidth="1"/>
    <col min="3" max="3" width="13.140625" style="4" customWidth="1"/>
    <col min="4" max="4" width="14.7109375" style="7" customWidth="1"/>
    <col min="5" max="5" width="33.7109375" style="43" customWidth="1"/>
    <col min="6" max="6" width="20.140625" style="7" customWidth="1"/>
    <col min="7" max="7" width="9.5703125" style="4" customWidth="1"/>
    <col min="8" max="8" width="15" style="7" customWidth="1"/>
    <col min="9" max="10" width="12.42578125" style="4" customWidth="1"/>
    <col min="11" max="11" width="13.5703125" style="354" customWidth="1"/>
    <col min="12" max="12" width="23.140625" style="156" customWidth="1"/>
    <col min="13" max="13" width="19.28515625" style="4" customWidth="1"/>
    <col min="14" max="14" width="15.140625" style="4" customWidth="1"/>
    <col min="15" max="15" width="23.85546875" style="4" customWidth="1"/>
    <col min="16" max="16" width="17.140625" style="4" customWidth="1"/>
    <col min="17" max="17" width="16" style="486" customWidth="1"/>
    <col min="18" max="18" width="66" style="4" customWidth="1"/>
    <col min="19" max="19" width="21.85546875" style="4" bestFit="1" customWidth="1"/>
    <col min="20" max="20" width="12.7109375" style="4" bestFit="1" customWidth="1"/>
    <col min="21" max="21" width="9" style="4" bestFit="1" customWidth="1"/>
    <col min="22" max="22" width="8.7109375" style="4" bestFit="1" customWidth="1"/>
    <col min="23" max="25" width="8.7109375" style="4"/>
    <col min="26" max="26" width="9.140625" bestFit="1" customWidth="1"/>
    <col min="27" max="16384" width="8.7109375" style="4"/>
  </cols>
  <sheetData>
    <row r="1" spans="1:26" ht="20.45" hidden="1" customHeight="1" x14ac:dyDescent="0.25">
      <c r="A1" s="610" t="s">
        <v>142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124"/>
      <c r="U1" s="7"/>
      <c r="V1" s="7"/>
    </row>
    <row r="2" spans="1:26" s="399" customFormat="1" ht="26.25" customHeight="1" x14ac:dyDescent="0.25">
      <c r="A2" s="159" t="s">
        <v>1</v>
      </c>
      <c r="B2" s="160" t="s">
        <v>3</v>
      </c>
      <c r="C2" s="159" t="s">
        <v>143</v>
      </c>
      <c r="D2" s="159" t="s">
        <v>144</v>
      </c>
      <c r="E2" s="161" t="s">
        <v>4</v>
      </c>
      <c r="F2" s="161" t="s">
        <v>145</v>
      </c>
      <c r="G2" s="161" t="s">
        <v>146</v>
      </c>
      <c r="H2" s="161" t="s">
        <v>147</v>
      </c>
      <c r="I2" s="161" t="s">
        <v>148</v>
      </c>
      <c r="J2" s="161" t="s">
        <v>149</v>
      </c>
      <c r="K2" s="161" t="s">
        <v>150</v>
      </c>
      <c r="L2" s="162" t="s">
        <v>151</v>
      </c>
      <c r="M2" s="163" t="s">
        <v>81</v>
      </c>
      <c r="N2" s="163" t="s">
        <v>82</v>
      </c>
      <c r="O2" s="163" t="s">
        <v>83</v>
      </c>
      <c r="P2" s="159" t="s">
        <v>152</v>
      </c>
      <c r="Q2" s="496" t="s">
        <v>166</v>
      </c>
      <c r="R2" s="170" t="s">
        <v>11</v>
      </c>
      <c r="S2" s="170" t="s">
        <v>167</v>
      </c>
      <c r="T2" s="4"/>
      <c r="U2" s="4"/>
      <c r="V2" s="4"/>
      <c r="W2" s="4"/>
      <c r="X2" s="4"/>
      <c r="Y2" s="4"/>
      <c r="Z2"/>
    </row>
    <row r="3" spans="1:26" ht="81" hidden="1" x14ac:dyDescent="0.25">
      <c r="A3" s="497" t="s">
        <v>108</v>
      </c>
      <c r="B3" s="498" t="s">
        <v>14</v>
      </c>
      <c r="C3" s="429">
        <v>2026</v>
      </c>
      <c r="D3" s="499" t="s">
        <v>16</v>
      </c>
      <c r="E3" s="164" t="s">
        <v>168</v>
      </c>
      <c r="F3" s="164"/>
      <c r="G3" s="164"/>
      <c r="H3" s="164"/>
      <c r="I3" s="442" t="s">
        <v>169</v>
      </c>
      <c r="J3" s="442"/>
      <c r="K3" s="485"/>
      <c r="L3" s="167">
        <v>2473982</v>
      </c>
      <c r="M3" s="548">
        <v>2182615.7999999998</v>
      </c>
      <c r="N3" s="548">
        <v>1397287.05</v>
      </c>
      <c r="O3" s="548">
        <v>1397287.05</v>
      </c>
      <c r="P3" s="558"/>
      <c r="Q3" s="484" t="s">
        <v>170</v>
      </c>
      <c r="R3" s="248"/>
      <c r="S3" s="248"/>
      <c r="T3" s="249"/>
      <c r="U3" s="82"/>
      <c r="V3" s="82"/>
    </row>
    <row r="4" spans="1:26" ht="20.25" customHeight="1" x14ac:dyDescent="0.25">
      <c r="A4" s="500"/>
      <c r="B4" s="498" t="s">
        <v>119</v>
      </c>
      <c r="C4" s="429">
        <v>2023</v>
      </c>
      <c r="D4" s="429" t="s">
        <v>16</v>
      </c>
      <c r="E4" s="429" t="s">
        <v>171</v>
      </c>
      <c r="F4" s="429" t="s">
        <v>172</v>
      </c>
      <c r="G4" s="429" t="s">
        <v>173</v>
      </c>
      <c r="H4" s="429" t="s">
        <v>174</v>
      </c>
      <c r="I4" s="501" t="s">
        <v>175</v>
      </c>
      <c r="J4" s="501">
        <v>945512</v>
      </c>
      <c r="K4" s="485" t="s">
        <v>176</v>
      </c>
      <c r="L4" s="167">
        <v>117720</v>
      </c>
      <c r="M4" s="167"/>
      <c r="N4" s="167"/>
      <c r="O4" s="556"/>
      <c r="P4" s="555" t="s">
        <v>165</v>
      </c>
      <c r="Q4" s="557" t="s">
        <v>170</v>
      </c>
      <c r="R4" s="248" t="s">
        <v>177</v>
      </c>
      <c r="S4" s="248" t="s">
        <v>178</v>
      </c>
      <c r="T4" s="250"/>
      <c r="U4" s="82"/>
      <c r="V4" s="82"/>
    </row>
    <row r="5" spans="1:26" ht="20.25" customHeight="1" x14ac:dyDescent="0.25">
      <c r="A5" s="500"/>
      <c r="B5" s="498" t="s">
        <v>119</v>
      </c>
      <c r="C5" s="429">
        <v>2025</v>
      </c>
      <c r="D5" s="429" t="s">
        <v>16</v>
      </c>
      <c r="E5" s="172" t="s">
        <v>179</v>
      </c>
      <c r="F5" s="429" t="s">
        <v>180</v>
      </c>
      <c r="G5" s="429" t="s">
        <v>173</v>
      </c>
      <c r="H5" s="429" t="s">
        <v>181</v>
      </c>
      <c r="I5" s="501" t="s">
        <v>175</v>
      </c>
      <c r="J5" s="501">
        <v>946960</v>
      </c>
      <c r="K5" s="485" t="s">
        <v>182</v>
      </c>
      <c r="L5" s="167">
        <v>72000</v>
      </c>
      <c r="M5" s="167">
        <v>72000</v>
      </c>
      <c r="N5" s="167"/>
      <c r="O5" s="167"/>
      <c r="P5" s="559" t="s">
        <v>165</v>
      </c>
      <c r="Q5" s="484" t="s">
        <v>183</v>
      </c>
      <c r="R5" s="248" t="s">
        <v>184</v>
      </c>
      <c r="S5" s="248" t="s">
        <v>178</v>
      </c>
      <c r="T5" s="250"/>
      <c r="U5" s="82"/>
      <c r="V5" s="82"/>
    </row>
    <row r="6" spans="1:26" ht="20.25" customHeight="1" x14ac:dyDescent="0.25">
      <c r="A6" s="500"/>
      <c r="B6" s="498" t="s">
        <v>119</v>
      </c>
      <c r="C6" s="429">
        <v>2023</v>
      </c>
      <c r="D6" s="429" t="s">
        <v>16</v>
      </c>
      <c r="E6" s="429" t="s">
        <v>185</v>
      </c>
      <c r="F6" s="429" t="s">
        <v>180</v>
      </c>
      <c r="G6" s="429" t="s">
        <v>173</v>
      </c>
      <c r="H6" s="429" t="s">
        <v>181</v>
      </c>
      <c r="I6" s="501" t="s">
        <v>175</v>
      </c>
      <c r="J6" s="501">
        <v>946960</v>
      </c>
      <c r="K6" s="485" t="s">
        <v>182</v>
      </c>
      <c r="L6" s="167">
        <f>45716.3</f>
        <v>45716.3</v>
      </c>
      <c r="M6" s="167">
        <v>42214.39</v>
      </c>
      <c r="N6" s="167">
        <v>20003.91</v>
      </c>
      <c r="O6" s="167">
        <v>16503.91</v>
      </c>
      <c r="P6" s="394" t="s">
        <v>165</v>
      </c>
      <c r="Q6" s="484" t="s">
        <v>183</v>
      </c>
      <c r="R6" s="545" t="s">
        <v>186</v>
      </c>
      <c r="S6" s="248" t="s">
        <v>178</v>
      </c>
      <c r="T6" s="250"/>
      <c r="U6" s="82"/>
      <c r="V6" s="82"/>
    </row>
    <row r="7" spans="1:26" ht="20.25" customHeight="1" x14ac:dyDescent="0.25">
      <c r="A7" s="500"/>
      <c r="B7" s="498" t="s">
        <v>119</v>
      </c>
      <c r="C7" s="429">
        <v>2025</v>
      </c>
      <c r="D7" s="429" t="s">
        <v>16</v>
      </c>
      <c r="E7" s="429" t="s">
        <v>187</v>
      </c>
      <c r="F7" s="429" t="s">
        <v>188</v>
      </c>
      <c r="G7" s="429" t="s">
        <v>173</v>
      </c>
      <c r="H7" s="429" t="s">
        <v>189</v>
      </c>
      <c r="I7" s="501" t="s">
        <v>190</v>
      </c>
      <c r="J7" s="501">
        <v>958214</v>
      </c>
      <c r="K7" s="485" t="s">
        <v>191</v>
      </c>
      <c r="L7" s="167"/>
      <c r="M7" s="167"/>
      <c r="N7" s="167"/>
      <c r="O7" s="167"/>
      <c r="P7" s="394" t="s">
        <v>192</v>
      </c>
      <c r="Q7" s="484" t="s">
        <v>183</v>
      </c>
      <c r="R7" s="248" t="s">
        <v>193</v>
      </c>
      <c r="S7" s="248" t="s">
        <v>178</v>
      </c>
      <c r="T7" s="250"/>
      <c r="U7" s="82"/>
      <c r="V7" s="82"/>
    </row>
    <row r="8" spans="1:26" ht="20.25" customHeight="1" x14ac:dyDescent="0.25">
      <c r="A8" s="500"/>
      <c r="B8" s="498" t="s">
        <v>119</v>
      </c>
      <c r="C8" s="429">
        <v>2025</v>
      </c>
      <c r="D8" s="429" t="s">
        <v>16</v>
      </c>
      <c r="E8" s="429" t="s">
        <v>194</v>
      </c>
      <c r="F8" s="429" t="s">
        <v>195</v>
      </c>
      <c r="G8" s="429" t="s">
        <v>173</v>
      </c>
      <c r="H8" s="429" t="s">
        <v>189</v>
      </c>
      <c r="I8" s="501" t="s">
        <v>190</v>
      </c>
      <c r="J8" s="501"/>
      <c r="K8" s="485" t="s">
        <v>191</v>
      </c>
      <c r="L8" s="490"/>
      <c r="M8" s="167"/>
      <c r="N8" s="167"/>
      <c r="O8" s="167"/>
      <c r="P8" s="394" t="s">
        <v>192</v>
      </c>
      <c r="Q8" s="484" t="s">
        <v>183</v>
      </c>
      <c r="R8" s="248" t="s">
        <v>196</v>
      </c>
      <c r="S8" s="248"/>
      <c r="T8" s="250"/>
      <c r="U8" s="82"/>
      <c r="V8" s="82"/>
    </row>
    <row r="9" spans="1:26" ht="20.25" customHeight="1" x14ac:dyDescent="0.25">
      <c r="A9" s="500"/>
      <c r="B9" s="498" t="s">
        <v>119</v>
      </c>
      <c r="C9" s="429">
        <v>2025</v>
      </c>
      <c r="D9" s="429" t="s">
        <v>16</v>
      </c>
      <c r="E9" s="429" t="s">
        <v>197</v>
      </c>
      <c r="F9" s="429" t="s">
        <v>198</v>
      </c>
      <c r="G9" s="429" t="s">
        <v>173</v>
      </c>
      <c r="H9" s="429" t="s">
        <v>199</v>
      </c>
      <c r="I9" s="501" t="s">
        <v>190</v>
      </c>
      <c r="J9" s="501">
        <v>978843</v>
      </c>
      <c r="K9" s="485" t="s">
        <v>176</v>
      </c>
      <c r="L9" s="167">
        <v>532400</v>
      </c>
      <c r="M9" s="167">
        <v>532400</v>
      </c>
      <c r="N9" s="167">
        <v>16080.49</v>
      </c>
      <c r="O9" s="167">
        <v>16080.49</v>
      </c>
      <c r="P9" s="394" t="s">
        <v>165</v>
      </c>
      <c r="Q9" s="484" t="s">
        <v>170</v>
      </c>
      <c r="R9" s="248" t="s">
        <v>200</v>
      </c>
      <c r="S9" s="248" t="s">
        <v>178</v>
      </c>
      <c r="T9" s="250"/>
      <c r="U9" s="82"/>
      <c r="V9" s="82"/>
    </row>
    <row r="10" spans="1:26" ht="20.25" customHeight="1" x14ac:dyDescent="0.25">
      <c r="A10" s="500"/>
      <c r="B10" s="498" t="s">
        <v>119</v>
      </c>
      <c r="C10" s="429">
        <v>2024</v>
      </c>
      <c r="D10" s="429" t="s">
        <v>16</v>
      </c>
      <c r="E10" s="429" t="s">
        <v>201</v>
      </c>
      <c r="F10" s="429" t="s">
        <v>202</v>
      </c>
      <c r="G10" s="429" t="s">
        <v>173</v>
      </c>
      <c r="H10" s="429" t="s">
        <v>203</v>
      </c>
      <c r="I10" s="501" t="s">
        <v>175</v>
      </c>
      <c r="J10" s="501">
        <v>966020</v>
      </c>
      <c r="K10" s="485" t="s">
        <v>204</v>
      </c>
      <c r="L10" s="167">
        <v>536699.31000000006</v>
      </c>
      <c r="M10" s="167">
        <v>536699.31000000006</v>
      </c>
      <c r="N10" s="167">
        <v>536699.31000000006</v>
      </c>
      <c r="O10" s="167">
        <v>536699.31000000006</v>
      </c>
      <c r="P10" s="394" t="s">
        <v>205</v>
      </c>
      <c r="Q10" s="484" t="s">
        <v>183</v>
      </c>
      <c r="R10" s="452" t="s">
        <v>206</v>
      </c>
      <c r="S10" s="248" t="s">
        <v>178</v>
      </c>
      <c r="T10" s="250"/>
      <c r="U10" s="82"/>
      <c r="V10" s="82"/>
    </row>
    <row r="11" spans="1:26" ht="20.25" customHeight="1" x14ac:dyDescent="0.25">
      <c r="A11" s="500"/>
      <c r="B11" s="498" t="s">
        <v>119</v>
      </c>
      <c r="C11" s="429">
        <v>2025</v>
      </c>
      <c r="D11" s="429" t="s">
        <v>16</v>
      </c>
      <c r="E11" s="502" t="s">
        <v>207</v>
      </c>
      <c r="F11" s="429" t="s">
        <v>208</v>
      </c>
      <c r="G11" s="429" t="s">
        <v>173</v>
      </c>
      <c r="H11" s="429" t="s">
        <v>174</v>
      </c>
      <c r="I11" s="501" t="s">
        <v>175</v>
      </c>
      <c r="J11" s="501"/>
      <c r="K11" s="485" t="s">
        <v>204</v>
      </c>
      <c r="L11" s="490">
        <v>223435</v>
      </c>
      <c r="M11" s="167"/>
      <c r="N11" s="167"/>
      <c r="O11" s="167"/>
      <c r="P11" s="394" t="s">
        <v>192</v>
      </c>
      <c r="Q11" s="484" t="s">
        <v>209</v>
      </c>
      <c r="R11" s="503" t="s">
        <v>210</v>
      </c>
      <c r="S11" s="248" t="s">
        <v>178</v>
      </c>
      <c r="T11" s="250"/>
      <c r="U11" s="82"/>
      <c r="V11" s="82"/>
    </row>
    <row r="12" spans="1:26" ht="20.25" customHeight="1" x14ac:dyDescent="0.25">
      <c r="A12" s="500"/>
      <c r="B12" s="498" t="s">
        <v>119</v>
      </c>
      <c r="C12" s="429">
        <v>2026</v>
      </c>
      <c r="D12" s="429" t="s">
        <v>16</v>
      </c>
      <c r="E12" s="429" t="s">
        <v>211</v>
      </c>
      <c r="F12" s="429" t="s">
        <v>212</v>
      </c>
      <c r="G12" s="429" t="s">
        <v>173</v>
      </c>
      <c r="H12" s="429" t="s">
        <v>199</v>
      </c>
      <c r="I12" s="501" t="s">
        <v>213</v>
      </c>
      <c r="J12" s="501"/>
      <c r="K12" s="485" t="s">
        <v>214</v>
      </c>
      <c r="L12" s="167">
        <v>85000</v>
      </c>
      <c r="M12" s="167"/>
      <c r="N12" s="167"/>
      <c r="O12" s="167"/>
      <c r="P12" s="394" t="s">
        <v>192</v>
      </c>
      <c r="Q12" s="484" t="s">
        <v>170</v>
      </c>
      <c r="R12" s="248" t="s">
        <v>215</v>
      </c>
      <c r="S12" s="504" t="s">
        <v>216</v>
      </c>
      <c r="T12" s="250"/>
      <c r="U12" s="82"/>
      <c r="V12" s="82"/>
    </row>
    <row r="13" spans="1:26" ht="20.25" customHeight="1" x14ac:dyDescent="0.25">
      <c r="A13" s="500"/>
      <c r="B13" s="498" t="s">
        <v>119</v>
      </c>
      <c r="C13" s="429">
        <v>2026</v>
      </c>
      <c r="D13" s="429" t="s">
        <v>16</v>
      </c>
      <c r="E13" s="429" t="s">
        <v>217</v>
      </c>
      <c r="F13" s="429" t="s">
        <v>218</v>
      </c>
      <c r="G13" s="429" t="s">
        <v>173</v>
      </c>
      <c r="H13" s="429" t="s">
        <v>199</v>
      </c>
      <c r="I13" s="501" t="s">
        <v>213</v>
      </c>
      <c r="J13" s="501"/>
      <c r="K13" s="485" t="s">
        <v>214</v>
      </c>
      <c r="L13" s="167"/>
      <c r="M13" s="167"/>
      <c r="N13" s="167"/>
      <c r="O13" s="167"/>
      <c r="P13" s="394" t="s">
        <v>219</v>
      </c>
      <c r="Q13" s="484" t="s">
        <v>170</v>
      </c>
      <c r="R13" s="248" t="s">
        <v>220</v>
      </c>
      <c r="S13" s="504" t="s">
        <v>216</v>
      </c>
      <c r="T13" s="250"/>
      <c r="U13" s="82"/>
      <c r="V13" s="82"/>
    </row>
    <row r="14" spans="1:26" ht="20.25" customHeight="1" x14ac:dyDescent="0.25">
      <c r="A14" s="500"/>
      <c r="B14" s="498" t="s">
        <v>119</v>
      </c>
      <c r="C14" s="429">
        <v>2025</v>
      </c>
      <c r="D14" s="429" t="s">
        <v>16</v>
      </c>
      <c r="E14" s="429" t="s">
        <v>221</v>
      </c>
      <c r="F14" s="429" t="s">
        <v>222</v>
      </c>
      <c r="G14" s="429" t="s">
        <v>173</v>
      </c>
      <c r="H14" s="429" t="s">
        <v>199</v>
      </c>
      <c r="I14" s="501" t="s">
        <v>213</v>
      </c>
      <c r="J14" s="501"/>
      <c r="K14" s="485" t="s">
        <v>214</v>
      </c>
      <c r="L14" s="167">
        <v>55566.42</v>
      </c>
      <c r="M14" s="167">
        <v>38945.56</v>
      </c>
      <c r="N14" s="167">
        <v>24278.39</v>
      </c>
      <c r="O14" s="167">
        <v>24278.39</v>
      </c>
      <c r="P14" s="394" t="s">
        <v>223</v>
      </c>
      <c r="Q14" s="484" t="s">
        <v>170</v>
      </c>
      <c r="R14" s="248" t="s">
        <v>224</v>
      </c>
      <c r="S14" s="504" t="s">
        <v>216</v>
      </c>
      <c r="T14" s="250"/>
      <c r="U14" s="82"/>
      <c r="V14" s="82"/>
    </row>
    <row r="15" spans="1:26" ht="20.25" customHeight="1" x14ac:dyDescent="0.25">
      <c r="A15" s="500"/>
      <c r="B15" s="498" t="s">
        <v>119</v>
      </c>
      <c r="C15" s="429">
        <v>2025</v>
      </c>
      <c r="D15" s="429" t="s">
        <v>16</v>
      </c>
      <c r="E15" s="429" t="s">
        <v>225</v>
      </c>
      <c r="F15" s="429" t="s">
        <v>226</v>
      </c>
      <c r="G15" s="429" t="s">
        <v>173</v>
      </c>
      <c r="H15" s="429" t="s">
        <v>199</v>
      </c>
      <c r="I15" s="501" t="s">
        <v>175</v>
      </c>
      <c r="J15" s="501"/>
      <c r="K15" s="485" t="s">
        <v>227</v>
      </c>
      <c r="L15" s="490"/>
      <c r="M15" s="167"/>
      <c r="N15" s="167"/>
      <c r="O15" s="167"/>
      <c r="P15" s="394" t="s">
        <v>192</v>
      </c>
      <c r="Q15" s="484" t="s">
        <v>170</v>
      </c>
      <c r="R15" s="545" t="s">
        <v>228</v>
      </c>
      <c r="S15" s="504" t="s">
        <v>178</v>
      </c>
      <c r="T15" s="250"/>
      <c r="U15" s="82"/>
      <c r="V15" s="82"/>
    </row>
    <row r="16" spans="1:26" ht="20.25" customHeight="1" x14ac:dyDescent="0.25">
      <c r="A16" s="500"/>
      <c r="B16" s="498" t="s">
        <v>119</v>
      </c>
      <c r="C16" s="429">
        <v>2026</v>
      </c>
      <c r="D16" s="429" t="s">
        <v>16</v>
      </c>
      <c r="E16" s="429" t="s">
        <v>229</v>
      </c>
      <c r="F16" s="429" t="s">
        <v>230</v>
      </c>
      <c r="G16" s="429" t="s">
        <v>173</v>
      </c>
      <c r="H16" s="429" t="s">
        <v>231</v>
      </c>
      <c r="I16" s="501" t="s">
        <v>175</v>
      </c>
      <c r="J16" s="501"/>
      <c r="K16" s="485" t="s">
        <v>232</v>
      </c>
      <c r="L16" s="490"/>
      <c r="M16" s="167"/>
      <c r="N16" s="167"/>
      <c r="O16" s="167"/>
      <c r="P16" s="394" t="s">
        <v>192</v>
      </c>
      <c r="Q16" s="484" t="s">
        <v>170</v>
      </c>
      <c r="R16" s="248" t="s">
        <v>233</v>
      </c>
      <c r="S16" s="248" t="s">
        <v>178</v>
      </c>
      <c r="T16" s="250"/>
      <c r="U16" s="82"/>
      <c r="V16" s="82"/>
    </row>
    <row r="17" spans="1:22" ht="20.25" customHeight="1" x14ac:dyDescent="0.25">
      <c r="A17" s="500"/>
      <c r="B17" s="498" t="s">
        <v>119</v>
      </c>
      <c r="C17" s="429">
        <v>2025</v>
      </c>
      <c r="D17" s="429" t="s">
        <v>16</v>
      </c>
      <c r="E17" s="429" t="s">
        <v>234</v>
      </c>
      <c r="F17" s="429" t="s">
        <v>235</v>
      </c>
      <c r="G17" s="429" t="s">
        <v>173</v>
      </c>
      <c r="H17" s="429" t="s">
        <v>174</v>
      </c>
      <c r="I17" s="501" t="s">
        <v>175</v>
      </c>
      <c r="J17" s="501"/>
      <c r="K17" s="485" t="s">
        <v>236</v>
      </c>
      <c r="L17" s="490"/>
      <c r="M17" s="167"/>
      <c r="N17" s="167"/>
      <c r="O17" s="167"/>
      <c r="P17" s="394" t="s">
        <v>192</v>
      </c>
      <c r="Q17" s="484" t="s">
        <v>170</v>
      </c>
      <c r="R17" s="248" t="s">
        <v>237</v>
      </c>
      <c r="S17" s="248" t="s">
        <v>178</v>
      </c>
      <c r="T17" s="250"/>
      <c r="U17" s="82"/>
      <c r="V17" s="82"/>
    </row>
    <row r="18" spans="1:22" ht="20.25" customHeight="1" x14ac:dyDescent="0.25">
      <c r="A18" s="500"/>
      <c r="B18" s="498" t="s">
        <v>119</v>
      </c>
      <c r="C18" s="429">
        <v>2025</v>
      </c>
      <c r="D18" s="429" t="s">
        <v>16</v>
      </c>
      <c r="E18" s="429" t="s">
        <v>238</v>
      </c>
      <c r="F18" s="429" t="s">
        <v>239</v>
      </c>
      <c r="G18" s="429" t="s">
        <v>173</v>
      </c>
      <c r="H18" s="429" t="s">
        <v>174</v>
      </c>
      <c r="I18" s="501" t="s">
        <v>175</v>
      </c>
      <c r="J18" s="501"/>
      <c r="K18" s="485" t="s">
        <v>236</v>
      </c>
      <c r="L18" s="175">
        <v>204000</v>
      </c>
      <c r="M18" s="167">
        <v>204000</v>
      </c>
      <c r="N18" s="167">
        <v>179520</v>
      </c>
      <c r="O18" s="167">
        <v>179520</v>
      </c>
      <c r="P18" s="394" t="s">
        <v>165</v>
      </c>
      <c r="Q18" s="484" t="s">
        <v>183</v>
      </c>
      <c r="R18" s="248" t="s">
        <v>240</v>
      </c>
      <c r="S18" s="248" t="s">
        <v>178</v>
      </c>
      <c r="T18" s="250"/>
      <c r="U18" s="82"/>
      <c r="V18" s="82"/>
    </row>
    <row r="19" spans="1:22" ht="20.25" customHeight="1" x14ac:dyDescent="0.25">
      <c r="A19" s="500"/>
      <c r="B19" s="498" t="s">
        <v>119</v>
      </c>
      <c r="C19" s="429">
        <v>2025</v>
      </c>
      <c r="D19" s="429" t="s">
        <v>16</v>
      </c>
      <c r="E19" s="429" t="s">
        <v>241</v>
      </c>
      <c r="F19" s="429" t="s">
        <v>242</v>
      </c>
      <c r="G19" s="429" t="s">
        <v>173</v>
      </c>
      <c r="H19" s="429" t="s">
        <v>231</v>
      </c>
      <c r="I19" s="501" t="s">
        <v>213</v>
      </c>
      <c r="J19" s="501"/>
      <c r="K19" s="485" t="s">
        <v>214</v>
      </c>
      <c r="L19" s="490"/>
      <c r="M19" s="167"/>
      <c r="N19" s="167"/>
      <c r="O19" s="167"/>
      <c r="P19" s="394" t="s">
        <v>219</v>
      </c>
      <c r="Q19" s="484" t="s">
        <v>170</v>
      </c>
      <c r="R19" s="545" t="s">
        <v>243</v>
      </c>
      <c r="S19" s="248" t="s">
        <v>178</v>
      </c>
      <c r="T19" s="250"/>
      <c r="U19" s="82"/>
      <c r="V19" s="82"/>
    </row>
    <row r="20" spans="1:22" ht="20.25" customHeight="1" x14ac:dyDescent="0.25">
      <c r="A20" s="500"/>
      <c r="B20" s="498" t="s">
        <v>119</v>
      </c>
      <c r="C20" s="429">
        <v>2026</v>
      </c>
      <c r="D20" s="429" t="s">
        <v>16</v>
      </c>
      <c r="E20" s="429" t="s">
        <v>244</v>
      </c>
      <c r="F20" s="429"/>
      <c r="G20" s="429" t="s">
        <v>173</v>
      </c>
      <c r="H20" s="429" t="s">
        <v>231</v>
      </c>
      <c r="I20" s="501" t="s">
        <v>213</v>
      </c>
      <c r="J20" s="501"/>
      <c r="K20" s="484"/>
      <c r="L20" s="547">
        <v>60000</v>
      </c>
      <c r="M20" s="167"/>
      <c r="N20" s="167"/>
      <c r="O20" s="167"/>
      <c r="P20" s="394" t="s">
        <v>219</v>
      </c>
      <c r="Q20" s="484" t="s">
        <v>170</v>
      </c>
      <c r="R20" s="545" t="s">
        <v>245</v>
      </c>
      <c r="S20" s="504" t="s">
        <v>178</v>
      </c>
      <c r="T20" s="250"/>
      <c r="U20" s="82"/>
      <c r="V20" s="82"/>
    </row>
    <row r="21" spans="1:22" ht="20.25" customHeight="1" x14ac:dyDescent="0.25">
      <c r="A21" s="500"/>
      <c r="B21" s="498" t="s">
        <v>119</v>
      </c>
      <c r="C21" s="429">
        <v>2026</v>
      </c>
      <c r="D21" s="429" t="s">
        <v>16</v>
      </c>
      <c r="E21" s="429" t="s">
        <v>246</v>
      </c>
      <c r="F21" s="429" t="s">
        <v>247</v>
      </c>
      <c r="G21" s="429" t="s">
        <v>173</v>
      </c>
      <c r="H21" s="429" t="s">
        <v>199</v>
      </c>
      <c r="I21" s="501" t="s">
        <v>248</v>
      </c>
      <c r="J21" s="501"/>
      <c r="K21" s="485" t="s">
        <v>214</v>
      </c>
      <c r="L21" s="167">
        <v>66809.2</v>
      </c>
      <c r="M21" s="167"/>
      <c r="N21" s="167"/>
      <c r="O21" s="167"/>
      <c r="P21" s="394" t="s">
        <v>223</v>
      </c>
      <c r="Q21" s="484" t="s">
        <v>170</v>
      </c>
      <c r="R21" s="248" t="s">
        <v>249</v>
      </c>
      <c r="S21" s="504" t="s">
        <v>216</v>
      </c>
      <c r="T21" s="250"/>
      <c r="U21" s="82"/>
      <c r="V21" s="82"/>
    </row>
    <row r="22" spans="1:22" ht="20.25" customHeight="1" x14ac:dyDescent="0.25">
      <c r="A22" s="500"/>
      <c r="B22" s="498" t="s">
        <v>119</v>
      </c>
      <c r="C22" s="429">
        <v>2026</v>
      </c>
      <c r="D22" s="429" t="s">
        <v>16</v>
      </c>
      <c r="E22" s="429" t="s">
        <v>250</v>
      </c>
      <c r="F22" s="429" t="s">
        <v>251</v>
      </c>
      <c r="G22" s="429" t="s">
        <v>173</v>
      </c>
      <c r="H22" s="429" t="s">
        <v>252</v>
      </c>
      <c r="I22" s="501" t="s">
        <v>248</v>
      </c>
      <c r="J22" s="501"/>
      <c r="K22" s="485" t="s">
        <v>214</v>
      </c>
      <c r="L22" s="167"/>
      <c r="M22" s="167"/>
      <c r="N22" s="167"/>
      <c r="O22" s="167"/>
      <c r="P22" s="394" t="s">
        <v>192</v>
      </c>
      <c r="Q22" s="484" t="s">
        <v>209</v>
      </c>
      <c r="R22" s="248" t="s">
        <v>253</v>
      </c>
      <c r="S22" s="504"/>
      <c r="T22" s="250"/>
      <c r="U22" s="82"/>
      <c r="V22" s="82"/>
    </row>
    <row r="23" spans="1:22" ht="20.25" customHeight="1" x14ac:dyDescent="0.25">
      <c r="A23" s="500"/>
      <c r="B23" s="498" t="s">
        <v>119</v>
      </c>
      <c r="C23" s="429">
        <v>2026</v>
      </c>
      <c r="D23" s="429" t="s">
        <v>16</v>
      </c>
      <c r="E23" s="429" t="s">
        <v>254</v>
      </c>
      <c r="F23" s="429"/>
      <c r="G23" s="429" t="s">
        <v>173</v>
      </c>
      <c r="H23" s="429" t="s">
        <v>199</v>
      </c>
      <c r="I23" s="501" t="s">
        <v>190</v>
      </c>
      <c r="J23" s="501"/>
      <c r="K23" s="485"/>
      <c r="L23" s="490"/>
      <c r="M23" s="167"/>
      <c r="N23" s="445"/>
      <c r="O23" s="167"/>
      <c r="P23" s="394" t="s">
        <v>219</v>
      </c>
      <c r="Q23" s="484" t="s">
        <v>170</v>
      </c>
      <c r="R23" s="248" t="s">
        <v>255</v>
      </c>
      <c r="S23" s="504" t="s">
        <v>216</v>
      </c>
      <c r="T23" s="250"/>
      <c r="U23" s="82"/>
      <c r="V23" s="82"/>
    </row>
    <row r="24" spans="1:22" ht="20.25" customHeight="1" x14ac:dyDescent="0.25">
      <c r="A24" s="500"/>
      <c r="B24" s="498" t="s">
        <v>119</v>
      </c>
      <c r="C24" s="429">
        <v>2026</v>
      </c>
      <c r="D24" s="499" t="s">
        <v>16</v>
      </c>
      <c r="E24" s="443" t="s">
        <v>256</v>
      </c>
      <c r="F24" s="429"/>
      <c r="G24" s="499" t="s">
        <v>173</v>
      </c>
      <c r="H24" s="499" t="s">
        <v>199</v>
      </c>
      <c r="I24" s="505" t="s">
        <v>248</v>
      </c>
      <c r="J24" s="444"/>
      <c r="K24" s="484" t="s">
        <v>214</v>
      </c>
      <c r="L24" s="167"/>
      <c r="M24" s="167"/>
      <c r="N24" s="445"/>
      <c r="O24" s="167"/>
      <c r="P24" s="394" t="s">
        <v>219</v>
      </c>
      <c r="Q24" s="484" t="s">
        <v>170</v>
      </c>
      <c r="R24" s="452"/>
      <c r="S24" s="248" t="s">
        <v>216</v>
      </c>
      <c r="T24" s="250"/>
      <c r="U24" s="82"/>
      <c r="V24" s="82"/>
    </row>
    <row r="25" spans="1:22" ht="20.25" customHeight="1" x14ac:dyDescent="0.25">
      <c r="A25" s="500"/>
      <c r="B25" s="498" t="s">
        <v>119</v>
      </c>
      <c r="C25" s="429">
        <v>2026</v>
      </c>
      <c r="D25" s="499" t="s">
        <v>16</v>
      </c>
      <c r="E25" s="443" t="s">
        <v>257</v>
      </c>
      <c r="F25" s="429" t="s">
        <v>258</v>
      </c>
      <c r="G25" s="499" t="s">
        <v>259</v>
      </c>
      <c r="H25" s="499" t="s">
        <v>174</v>
      </c>
      <c r="I25" s="505" t="s">
        <v>175</v>
      </c>
      <c r="J25" s="444"/>
      <c r="K25" s="484" t="s">
        <v>227</v>
      </c>
      <c r="L25" s="167">
        <v>240000</v>
      </c>
      <c r="M25" s="167">
        <v>240000</v>
      </c>
      <c r="N25" s="167">
        <v>240000</v>
      </c>
      <c r="O25" s="167">
        <v>240000</v>
      </c>
      <c r="P25" s="394" t="s">
        <v>205</v>
      </c>
      <c r="Q25" s="484" t="s">
        <v>183</v>
      </c>
      <c r="R25" s="499" t="s">
        <v>260</v>
      </c>
      <c r="S25" s="248"/>
      <c r="T25" s="250"/>
      <c r="U25" s="82"/>
      <c r="V25" s="82"/>
    </row>
    <row r="26" spans="1:22" ht="20.25" customHeight="1" x14ac:dyDescent="0.25">
      <c r="A26" s="500"/>
      <c r="B26" s="498" t="s">
        <v>119</v>
      </c>
      <c r="C26" s="429">
        <v>2026</v>
      </c>
      <c r="D26" s="499" t="s">
        <v>16</v>
      </c>
      <c r="E26" s="443" t="s">
        <v>261</v>
      </c>
      <c r="F26" s="429" t="s">
        <v>262</v>
      </c>
      <c r="G26" s="499" t="s">
        <v>173</v>
      </c>
      <c r="H26" s="499"/>
      <c r="I26" s="505"/>
      <c r="J26" s="444"/>
      <c r="K26" s="484" t="s">
        <v>263</v>
      </c>
      <c r="L26" s="167">
        <v>8557.77</v>
      </c>
      <c r="M26" s="167">
        <v>7251.06</v>
      </c>
      <c r="N26" s="167">
        <v>7251.06</v>
      </c>
      <c r="O26" s="167">
        <v>7251.06</v>
      </c>
      <c r="P26" s="394" t="s">
        <v>205</v>
      </c>
      <c r="Q26" s="484" t="s">
        <v>170</v>
      </c>
      <c r="R26" s="452" t="s">
        <v>264</v>
      </c>
      <c r="S26" s="248" t="s">
        <v>216</v>
      </c>
      <c r="T26" s="250"/>
      <c r="U26" s="82"/>
      <c r="V26" s="82"/>
    </row>
    <row r="27" spans="1:22" ht="20.25" hidden="1" customHeight="1" x14ac:dyDescent="0.25">
      <c r="A27" s="500"/>
      <c r="B27" s="498" t="s">
        <v>121</v>
      </c>
      <c r="C27" s="429">
        <v>2026</v>
      </c>
      <c r="D27" s="499" t="s">
        <v>16</v>
      </c>
      <c r="E27" s="415" t="s">
        <v>265</v>
      </c>
      <c r="F27" s="415" t="s">
        <v>266</v>
      </c>
      <c r="G27" s="499" t="s">
        <v>173</v>
      </c>
      <c r="H27" s="415" t="s">
        <v>267</v>
      </c>
      <c r="I27" s="505"/>
      <c r="J27" s="444"/>
      <c r="K27" s="484"/>
      <c r="L27" s="167"/>
      <c r="M27" s="167"/>
      <c r="N27" s="167"/>
      <c r="O27" s="167"/>
      <c r="P27" s="394"/>
      <c r="Q27" s="484"/>
      <c r="R27" s="452" t="s">
        <v>268</v>
      </c>
      <c r="S27" s="248"/>
      <c r="T27" s="250"/>
      <c r="U27" s="82"/>
      <c r="V27" s="82"/>
    </row>
    <row r="28" spans="1:22" ht="20.25" hidden="1" customHeight="1" x14ac:dyDescent="0.25">
      <c r="A28" s="500"/>
      <c r="B28" s="446" t="s">
        <v>121</v>
      </c>
      <c r="C28" s="447" t="s">
        <v>269</v>
      </c>
      <c r="D28" s="415" t="s">
        <v>16</v>
      </c>
      <c r="E28" s="415" t="s">
        <v>265</v>
      </c>
      <c r="F28" s="415" t="s">
        <v>266</v>
      </c>
      <c r="G28" s="415" t="s">
        <v>270</v>
      </c>
      <c r="H28" s="415" t="s">
        <v>267</v>
      </c>
      <c r="I28" s="499" t="s">
        <v>190</v>
      </c>
      <c r="J28" s="164"/>
      <c r="K28" s="172" t="s">
        <v>271</v>
      </c>
      <c r="L28" s="175">
        <v>5500000.5499999998</v>
      </c>
      <c r="M28" s="448"/>
      <c r="N28" s="449"/>
      <c r="O28" s="448"/>
      <c r="P28" s="450" t="s">
        <v>219</v>
      </c>
      <c r="Q28" s="484" t="s">
        <v>170</v>
      </c>
      <c r="R28" s="452" t="s">
        <v>272</v>
      </c>
      <c r="S28" s="248"/>
      <c r="T28" s="250"/>
      <c r="U28" s="82"/>
      <c r="V28" s="82"/>
    </row>
    <row r="29" spans="1:22" ht="20.25" hidden="1" customHeight="1" x14ac:dyDescent="0.25">
      <c r="A29" s="500"/>
      <c r="B29" s="446" t="s">
        <v>121</v>
      </c>
      <c r="C29" s="447" t="s">
        <v>269</v>
      </c>
      <c r="D29" s="415" t="s">
        <v>16</v>
      </c>
      <c r="E29" s="451" t="s">
        <v>273</v>
      </c>
      <c r="F29" s="415" t="s">
        <v>274</v>
      </c>
      <c r="G29" s="415" t="s">
        <v>270</v>
      </c>
      <c r="H29" s="415" t="s">
        <v>267</v>
      </c>
      <c r="I29" s="415" t="s">
        <v>190</v>
      </c>
      <c r="J29" s="164"/>
      <c r="K29" s="172" t="s">
        <v>275</v>
      </c>
      <c r="L29" s="506">
        <v>1541605.9</v>
      </c>
      <c r="M29" s="527">
        <v>1541605.94</v>
      </c>
      <c r="N29" s="167">
        <v>1541605.94</v>
      </c>
      <c r="O29" s="167"/>
      <c r="P29" s="450" t="s">
        <v>165</v>
      </c>
      <c r="Q29" s="484" t="s">
        <v>183</v>
      </c>
      <c r="R29" s="452"/>
      <c r="S29" s="248"/>
      <c r="T29" s="251"/>
    </row>
    <row r="30" spans="1:22" ht="20.25" hidden="1" customHeight="1" x14ac:dyDescent="0.25">
      <c r="A30" s="500"/>
      <c r="B30" s="446" t="s">
        <v>121</v>
      </c>
      <c r="C30" s="447" t="s">
        <v>269</v>
      </c>
      <c r="D30" s="415" t="s">
        <v>16</v>
      </c>
      <c r="E30" s="451" t="s">
        <v>276</v>
      </c>
      <c r="F30" s="415" t="s">
        <v>277</v>
      </c>
      <c r="G30" s="415" t="s">
        <v>270</v>
      </c>
      <c r="H30" s="415" t="s">
        <v>267</v>
      </c>
      <c r="I30" s="415" t="s">
        <v>175</v>
      </c>
      <c r="J30" s="164"/>
      <c r="K30" s="172" t="s">
        <v>278</v>
      </c>
      <c r="L30" s="453">
        <v>5710000</v>
      </c>
      <c r="M30" s="527">
        <v>5710000</v>
      </c>
      <c r="N30" s="527">
        <v>5710000</v>
      </c>
      <c r="O30" s="527">
        <v>5710000</v>
      </c>
      <c r="P30" s="450" t="s">
        <v>205</v>
      </c>
      <c r="Q30" s="484" t="s">
        <v>183</v>
      </c>
      <c r="R30" s="248"/>
      <c r="S30" s="248"/>
      <c r="T30" s="251"/>
    </row>
    <row r="31" spans="1:22" ht="20.25" hidden="1" customHeight="1" x14ac:dyDescent="0.25">
      <c r="A31" s="500"/>
      <c r="B31" s="454" t="s">
        <v>121</v>
      </c>
      <c r="C31" s="447" t="s">
        <v>269</v>
      </c>
      <c r="D31" s="415" t="s">
        <v>16</v>
      </c>
      <c r="E31" s="451" t="s">
        <v>279</v>
      </c>
      <c r="F31" s="415" t="s">
        <v>280</v>
      </c>
      <c r="G31" s="415" t="s">
        <v>270</v>
      </c>
      <c r="H31" s="415" t="s">
        <v>267</v>
      </c>
      <c r="I31" s="415" t="s">
        <v>190</v>
      </c>
      <c r="J31" s="164"/>
      <c r="K31" s="172" t="s">
        <v>281</v>
      </c>
      <c r="L31" s="453">
        <v>980332.52</v>
      </c>
      <c r="M31" s="528"/>
      <c r="N31" s="527"/>
      <c r="O31" s="527"/>
      <c r="P31" s="450" t="s">
        <v>219</v>
      </c>
      <c r="Q31" s="484" t="s">
        <v>170</v>
      </c>
      <c r="R31" s="452" t="s">
        <v>282</v>
      </c>
      <c r="S31" s="248"/>
      <c r="T31" s="251"/>
    </row>
    <row r="32" spans="1:22" ht="20.25" hidden="1" customHeight="1" x14ac:dyDescent="0.25">
      <c r="A32" s="500"/>
      <c r="B32" s="454" t="s">
        <v>121</v>
      </c>
      <c r="C32" s="447" t="s">
        <v>269</v>
      </c>
      <c r="D32" s="415" t="s">
        <v>16</v>
      </c>
      <c r="E32" s="451" t="s">
        <v>283</v>
      </c>
      <c r="F32" s="455" t="s">
        <v>284</v>
      </c>
      <c r="G32" s="415" t="s">
        <v>270</v>
      </c>
      <c r="H32" s="415" t="s">
        <v>267</v>
      </c>
      <c r="I32" s="415" t="s">
        <v>190</v>
      </c>
      <c r="J32" s="164"/>
      <c r="K32" s="172" t="s">
        <v>236</v>
      </c>
      <c r="L32" s="453">
        <v>3200000</v>
      </c>
      <c r="M32" s="528">
        <v>3200000</v>
      </c>
      <c r="N32" s="167">
        <v>2944000</v>
      </c>
      <c r="O32" s="167">
        <v>2944000</v>
      </c>
      <c r="P32" s="450" t="s">
        <v>205</v>
      </c>
      <c r="Q32" s="484" t="s">
        <v>183</v>
      </c>
      <c r="R32" s="507"/>
      <c r="S32" s="248"/>
      <c r="T32" s="251"/>
    </row>
    <row r="33" spans="1:20" ht="20.25" hidden="1" customHeight="1" x14ac:dyDescent="0.25">
      <c r="A33" s="500"/>
      <c r="B33" s="529" t="s">
        <v>121</v>
      </c>
      <c r="C33" s="530" t="s">
        <v>269</v>
      </c>
      <c r="D33" s="531" t="s">
        <v>16</v>
      </c>
      <c r="E33" s="532" t="s">
        <v>285</v>
      </c>
      <c r="F33" s="539" t="s">
        <v>286</v>
      </c>
      <c r="G33" s="531" t="s">
        <v>270</v>
      </c>
      <c r="H33" s="531" t="s">
        <v>267</v>
      </c>
      <c r="I33" s="531" t="s">
        <v>190</v>
      </c>
      <c r="J33" s="197"/>
      <c r="K33" s="533" t="s">
        <v>271</v>
      </c>
      <c r="L33" s="546">
        <v>1216094.3</v>
      </c>
      <c r="M33" s="167"/>
      <c r="N33" s="167"/>
      <c r="O33" s="167"/>
      <c r="P33" s="450" t="s">
        <v>219</v>
      </c>
      <c r="Q33" s="484" t="s">
        <v>170</v>
      </c>
      <c r="R33" s="545" t="s">
        <v>287</v>
      </c>
      <c r="S33" s="248"/>
      <c r="T33" s="251"/>
    </row>
    <row r="34" spans="1:20" ht="20.25" hidden="1" customHeight="1" x14ac:dyDescent="0.25">
      <c r="A34" s="500"/>
      <c r="B34" s="454" t="s">
        <v>121</v>
      </c>
      <c r="C34" s="447" t="s">
        <v>269</v>
      </c>
      <c r="D34" s="415" t="s">
        <v>16</v>
      </c>
      <c r="E34" s="451" t="s">
        <v>288</v>
      </c>
      <c r="F34" s="455" t="s">
        <v>289</v>
      </c>
      <c r="G34" s="415" t="s">
        <v>270</v>
      </c>
      <c r="H34" s="415" t="s">
        <v>267</v>
      </c>
      <c r="I34" s="415" t="s">
        <v>190</v>
      </c>
      <c r="J34" s="164"/>
      <c r="K34" s="172" t="s">
        <v>290</v>
      </c>
      <c r="L34" s="456">
        <v>200000</v>
      </c>
      <c r="M34" s="528">
        <v>200000</v>
      </c>
      <c r="N34" s="167"/>
      <c r="O34" s="167"/>
      <c r="P34" s="450" t="s">
        <v>165</v>
      </c>
      <c r="Q34" s="484" t="s">
        <v>209</v>
      </c>
      <c r="R34" s="507"/>
      <c r="S34" s="248"/>
      <c r="T34" s="251"/>
    </row>
    <row r="35" spans="1:20" ht="20.25" hidden="1" customHeight="1" x14ac:dyDescent="0.25">
      <c r="A35" s="500"/>
      <c r="B35" s="454" t="s">
        <v>121</v>
      </c>
      <c r="C35" s="447" t="s">
        <v>269</v>
      </c>
      <c r="D35" s="415" t="s">
        <v>16</v>
      </c>
      <c r="E35" s="451" t="s">
        <v>291</v>
      </c>
      <c r="F35" s="455" t="s">
        <v>286</v>
      </c>
      <c r="G35" s="415" t="s">
        <v>270</v>
      </c>
      <c r="H35" s="415" t="s">
        <v>267</v>
      </c>
      <c r="I35" s="415" t="s">
        <v>190</v>
      </c>
      <c r="J35" s="164"/>
      <c r="K35" s="172" t="s">
        <v>271</v>
      </c>
      <c r="L35" s="456">
        <v>1215974.73</v>
      </c>
      <c r="M35" s="167">
        <v>1215974.73</v>
      </c>
      <c r="N35" s="167"/>
      <c r="O35" s="167"/>
      <c r="P35" s="450" t="s">
        <v>165</v>
      </c>
      <c r="Q35" s="484" t="s">
        <v>183</v>
      </c>
      <c r="R35" s="507"/>
      <c r="S35" s="248"/>
      <c r="T35" s="251"/>
    </row>
    <row r="36" spans="1:20" ht="20.25" hidden="1" customHeight="1" x14ac:dyDescent="0.25">
      <c r="A36" s="500"/>
      <c r="B36" s="454" t="s">
        <v>121</v>
      </c>
      <c r="C36" s="172">
        <v>2026</v>
      </c>
      <c r="D36" s="415" t="s">
        <v>18</v>
      </c>
      <c r="E36" s="451" t="s">
        <v>292</v>
      </c>
      <c r="F36" s="455" t="s">
        <v>293</v>
      </c>
      <c r="G36" s="415" t="s">
        <v>270</v>
      </c>
      <c r="H36" s="415" t="s">
        <v>267</v>
      </c>
      <c r="I36" s="415" t="s">
        <v>190</v>
      </c>
      <c r="J36" s="164"/>
      <c r="K36" s="172" t="s">
        <v>61</v>
      </c>
      <c r="L36" s="547"/>
      <c r="M36" s="167"/>
      <c r="N36" s="167"/>
      <c r="O36" s="167"/>
      <c r="P36" s="164" t="s">
        <v>192</v>
      </c>
      <c r="Q36" s="484" t="s">
        <v>170</v>
      </c>
      <c r="R36" s="545" t="s">
        <v>294</v>
      </c>
      <c r="S36" s="172"/>
      <c r="T36" s="251"/>
    </row>
    <row r="37" spans="1:20" ht="20.25" customHeight="1" x14ac:dyDescent="0.25">
      <c r="A37" s="500"/>
      <c r="B37" s="454" t="s">
        <v>119</v>
      </c>
      <c r="C37" s="172">
        <v>2026</v>
      </c>
      <c r="D37" s="415" t="s">
        <v>16</v>
      </c>
      <c r="E37" s="451" t="s">
        <v>295</v>
      </c>
      <c r="F37" s="429" t="s">
        <v>296</v>
      </c>
      <c r="G37" s="415"/>
      <c r="H37" s="415"/>
      <c r="I37" s="415" t="s">
        <v>175</v>
      </c>
      <c r="J37" s="164"/>
      <c r="K37" s="172" t="s">
        <v>236</v>
      </c>
      <c r="L37" s="458">
        <v>2000000</v>
      </c>
      <c r="M37" s="167">
        <v>1920000</v>
      </c>
      <c r="N37" s="167">
        <v>1000000</v>
      </c>
      <c r="O37" s="167">
        <v>1000000</v>
      </c>
      <c r="P37" s="164"/>
      <c r="Q37" s="484" t="s">
        <v>170</v>
      </c>
      <c r="R37" s="172" t="s">
        <v>297</v>
      </c>
      <c r="S37" s="248"/>
      <c r="T37" s="251"/>
    </row>
    <row r="38" spans="1:20" ht="20.25" hidden="1" customHeight="1" x14ac:dyDescent="0.25">
      <c r="A38" s="500"/>
      <c r="B38" s="454"/>
      <c r="C38" s="172"/>
      <c r="D38" s="415"/>
      <c r="E38" s="451"/>
      <c r="F38" s="455"/>
      <c r="G38" s="415"/>
      <c r="H38" s="415"/>
      <c r="I38" s="415"/>
      <c r="J38" s="164"/>
      <c r="K38" s="172"/>
      <c r="L38" s="458"/>
      <c r="M38" s="167"/>
      <c r="N38" s="167"/>
      <c r="O38" s="167"/>
      <c r="P38" s="164"/>
      <c r="Q38" s="484" t="s">
        <v>170</v>
      </c>
      <c r="R38" s="459"/>
      <c r="S38" s="248"/>
      <c r="T38" s="251"/>
    </row>
    <row r="39" spans="1:20" ht="20.25" hidden="1" customHeight="1" x14ac:dyDescent="0.25">
      <c r="A39" s="500"/>
      <c r="B39" s="387"/>
      <c r="C39" s="508"/>
      <c r="D39" s="387"/>
      <c r="E39" s="387"/>
      <c r="F39" s="387"/>
      <c r="G39" s="494" t="s">
        <v>50</v>
      </c>
      <c r="H39" s="494"/>
      <c r="I39" s="494"/>
      <c r="J39" s="494"/>
      <c r="K39" s="466"/>
      <c r="L39" s="509">
        <f>SUM(L3:L37)</f>
        <v>26285894</v>
      </c>
      <c r="M39" s="509">
        <f>SUM(M3:M37)</f>
        <v>17643706.789999999</v>
      </c>
      <c r="N39" s="509">
        <f>SUM(N3:N36)</f>
        <v>12616726.15</v>
      </c>
      <c r="O39" s="509">
        <f>SUM(O3:O36)</f>
        <v>11071620.210000001</v>
      </c>
      <c r="P39" s="166"/>
      <c r="Q39" s="484"/>
      <c r="R39" s="166"/>
      <c r="S39" s="166"/>
      <c r="T39" s="3"/>
    </row>
    <row r="40" spans="1:20" ht="20.25" hidden="1" customHeight="1" x14ac:dyDescent="0.25">
      <c r="A40" s="510"/>
      <c r="B40" s="387"/>
      <c r="C40" s="508"/>
      <c r="D40" s="387"/>
      <c r="E40" s="387"/>
      <c r="F40" s="387"/>
      <c r="G40" s="495" t="s">
        <v>160</v>
      </c>
      <c r="H40" s="495"/>
      <c r="I40" s="495"/>
      <c r="J40" s="495"/>
      <c r="K40" s="511"/>
      <c r="L40" s="168">
        <f>'Consolidado 2026'!H25</f>
        <v>26234345</v>
      </c>
      <c r="M40" s="168"/>
      <c r="N40" s="168"/>
      <c r="O40" s="168"/>
      <c r="P40" s="481"/>
      <c r="Q40" s="484"/>
      <c r="R40" s="166"/>
      <c r="S40" s="166"/>
      <c r="T40" s="3"/>
    </row>
    <row r="41" spans="1:20" ht="20.25" hidden="1" customHeight="1" x14ac:dyDescent="0.25">
      <c r="A41" s="410"/>
      <c r="B41" s="387"/>
      <c r="C41" s="508"/>
      <c r="D41" s="387"/>
      <c r="E41" s="387"/>
      <c r="F41" s="387"/>
      <c r="G41" s="494" t="s">
        <v>161</v>
      </c>
      <c r="H41" s="494"/>
      <c r="I41" s="494"/>
      <c r="J41" s="494"/>
      <c r="K41" s="466"/>
      <c r="L41" s="388">
        <f>L39/L40</f>
        <v>1.0019649432833182</v>
      </c>
      <c r="M41" s="388"/>
      <c r="N41" s="388"/>
      <c r="O41" s="388"/>
      <c r="P41" s="166"/>
      <c r="Q41" s="484"/>
      <c r="R41" s="166"/>
      <c r="S41" s="166"/>
      <c r="T41" s="3"/>
    </row>
    <row r="42" spans="1:20" ht="20.25" customHeight="1" x14ac:dyDescent="0.4">
      <c r="L42" s="553"/>
      <c r="M42" s="69"/>
      <c r="N42" s="69"/>
      <c r="O42" s="553"/>
      <c r="Q42" s="354"/>
    </row>
    <row r="43" spans="1:20" x14ac:dyDescent="0.4">
      <c r="M43" s="156"/>
      <c r="N43" s="156"/>
      <c r="O43" s="156"/>
      <c r="Q43" s="354"/>
    </row>
    <row r="44" spans="1:20" x14ac:dyDescent="0.4">
      <c r="M44" s="156"/>
      <c r="N44" s="156"/>
      <c r="O44" s="156"/>
      <c r="Q44" s="354"/>
    </row>
    <row r="45" spans="1:20" ht="26.25" customHeight="1" x14ac:dyDescent="0.4">
      <c r="L45" s="156" t="s">
        <v>298</v>
      </c>
      <c r="Q45" s="354"/>
    </row>
  </sheetData>
  <autoFilter ref="A2:S41" xr:uid="{5B811F89-A5AA-45C3-A0B6-6B39C4C0C446}">
    <filterColumn colId="1">
      <filters>
        <filter val="0001"/>
      </filters>
    </filterColumn>
  </autoFilter>
  <mergeCells count="1">
    <mergeCell ref="A1:S1"/>
  </mergeCells>
  <dataValidations count="5">
    <dataValidation type="list" allowBlank="1" showInputMessage="1" showErrorMessage="1" sqref="B43:B1048576 B3:B41" xr:uid="{CEC493EB-2908-4146-94C6-1171207F1E1C}">
      <formula1>"0000,0001,0002"</formula1>
    </dataValidation>
    <dataValidation type="list" allowBlank="1" showInputMessage="1" showErrorMessage="1" sqref="D43:D1048576 D1:D41" xr:uid="{F59F4900-DE2A-45EA-9B0E-1C18DE702429}">
      <formula1>"Despesas correntes,Investimento"</formula1>
    </dataValidation>
    <dataValidation type="list" allowBlank="1" showInputMessage="1" showErrorMessage="1" sqref="C43:C1048576 C1:C41" xr:uid="{231ED0A4-8A82-44AA-B58C-DE1E7B86EBED}">
      <formula1>"2023,2024,2025,2026"</formula1>
    </dataValidation>
    <dataValidation allowBlank="1" showInputMessage="1" showErrorMessage="1" sqref="Q1:Q2" xr:uid="{D37358B0-B928-46DE-8906-929D41DE8C08}"/>
    <dataValidation type="list" allowBlank="1" showInputMessage="1" showErrorMessage="1" sqref="B1:B2" xr:uid="{44439636-3130-4C34-8EFA-9F3CC19CCED0}">
      <formula1>"0000,0001"</formula1>
    </dataValidation>
  </dataValidations>
  <pageMargins left="0.511811024" right="0.511811024" top="0.78740157499999996" bottom="0.78740157499999996" header="0.31496062000000002" footer="0.31496062000000002"/>
  <pageSetup paperSize="8" scale="55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9" operator="containsText" id="{EBEFFCCE-4F50-471E-9E48-EA26DD66B2E8}">
            <xm:f>NOT(ISERROR(SEARCH(Planilha1!$B$9,P3)))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170" operator="containsText" id="{F14F7641-9175-4220-BC3A-DECB27CC7574}">
            <xm:f>NOT(ISERROR(SEARCH(Planilha1!$B$8,P3)))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171" operator="containsText" id="{B4DBDE65-1491-4923-B80D-7C00A5678B80}">
            <xm:f>NOT(ISERROR(SEARCH(Planilha1!$B$6,P3)))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174" operator="containsText" id="{D0214D64-4AAB-4C21-AEF4-CCC9195DB3FC}">
            <xm:f>NOT(ISERROR(SEARCH(Planilha1!$B$4,P3)))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175" operator="containsText" id="{EF74F423-8213-408A-9271-88B00E5066A7}">
            <xm:f>NOT(ISERROR(SEARCH(Planilha1!$B$5,P3)))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P3:P38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9376446-8EF0-43F7-895B-1B8BD31CF74E}">
          <x14:formula1>
            <xm:f>Planilha1!$B$3:$B$9</xm:f>
          </x14:formula1>
          <xm:sqref>P3</xm:sqref>
        </x14:dataValidation>
        <x14:dataValidation type="list" allowBlank="1" showInputMessage="1" showErrorMessage="1" xr:uid="{0998F94E-4E10-433C-BAD4-7F82120E0C9F}">
          <x14:formula1>
            <xm:f>Planilha1!$B$4:$B$9</xm:f>
          </x14:formula1>
          <xm:sqref>P4:P38</xm:sqref>
        </x14:dataValidation>
        <x14:dataValidation type="list" allowBlank="1" showInputMessage="1" showErrorMessage="1" xr:uid="{F4B7265C-66AB-4402-9A11-9D19B58FEADC}">
          <x14:formula1>
            <xm:f>Planilha1!$D$3:$D$10</xm:f>
          </x14:formula1>
          <xm:sqref>Q3:Q38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02CF-FB72-4500-BE94-C3479F88D788}">
  <sheetPr filterMode="1">
    <pageSetUpPr fitToPage="1"/>
  </sheetPr>
  <dimension ref="A1:W7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O36" sqref="O36"/>
    </sheetView>
  </sheetViews>
  <sheetFormatPr defaultColWidth="8.7109375" defaultRowHeight="26.25" customHeight="1" x14ac:dyDescent="0.4"/>
  <cols>
    <col min="1" max="1" width="8.7109375" style="14"/>
    <col min="2" max="2" width="8.85546875" style="395" bestFit="1" customWidth="1"/>
    <col min="3" max="3" width="15.42578125" style="203" customWidth="1"/>
    <col min="4" max="4" width="15.5703125" style="354" customWidth="1"/>
    <col min="5" max="5" width="31.5703125" style="397" customWidth="1"/>
    <col min="6" max="6" width="20.140625" style="7" customWidth="1"/>
    <col min="7" max="7" width="16.42578125" style="7" customWidth="1"/>
    <col min="8" max="8" width="16.85546875" style="7" customWidth="1"/>
    <col min="9" max="10" width="12.42578125" style="4" customWidth="1"/>
    <col min="11" max="11" width="12.5703125" style="396" customWidth="1"/>
    <col min="12" max="12" width="14.5703125" style="10" customWidth="1"/>
    <col min="13" max="13" width="15.85546875" style="4" customWidth="1"/>
    <col min="14" max="15" width="15.140625" style="4" customWidth="1"/>
    <col min="16" max="16" width="17.42578125" style="4" customWidth="1"/>
    <col min="17" max="17" width="16.7109375" style="354" customWidth="1"/>
    <col min="18" max="18" width="15.85546875" style="4" customWidth="1"/>
    <col min="19" max="19" width="59.140625" style="4" customWidth="1"/>
    <col min="20" max="20" width="8.7109375" style="4" customWidth="1"/>
    <col min="21" max="21" width="12.7109375" style="4" bestFit="1" customWidth="1"/>
    <col min="22" max="22" width="9" style="4" bestFit="1" customWidth="1"/>
    <col min="23" max="16384" width="8.7109375" style="4"/>
  </cols>
  <sheetData>
    <row r="1" spans="1:23" ht="20.45" customHeight="1" x14ac:dyDescent="0.2">
      <c r="A1" s="610" t="s">
        <v>299</v>
      </c>
      <c r="B1" s="610"/>
      <c r="C1" s="640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3"/>
      <c r="U1" s="3"/>
    </row>
    <row r="2" spans="1:23" s="7" customFormat="1" ht="30.95" customHeight="1" x14ac:dyDescent="0.2">
      <c r="A2" s="159" t="s">
        <v>1</v>
      </c>
      <c r="B2" s="434" t="s">
        <v>3</v>
      </c>
      <c r="C2" s="377" t="s">
        <v>143</v>
      </c>
      <c r="D2" s="377" t="s">
        <v>144</v>
      </c>
      <c r="E2" s="432" t="s">
        <v>4</v>
      </c>
      <c r="F2" s="355" t="s">
        <v>145</v>
      </c>
      <c r="G2" s="355" t="s">
        <v>146</v>
      </c>
      <c r="H2" s="355" t="s">
        <v>147</v>
      </c>
      <c r="I2" s="378" t="s">
        <v>148</v>
      </c>
      <c r="J2" s="355" t="s">
        <v>149</v>
      </c>
      <c r="K2" s="433" t="s">
        <v>150</v>
      </c>
      <c r="L2" s="356" t="s">
        <v>151</v>
      </c>
      <c r="M2" s="379" t="s">
        <v>81</v>
      </c>
      <c r="N2" s="379" t="s">
        <v>82</v>
      </c>
      <c r="O2" s="379" t="s">
        <v>83</v>
      </c>
      <c r="P2" s="357" t="s">
        <v>152</v>
      </c>
      <c r="Q2" s="512" t="s">
        <v>166</v>
      </c>
      <c r="R2" s="386" t="s">
        <v>11</v>
      </c>
      <c r="S2" s="386" t="s">
        <v>167</v>
      </c>
      <c r="T2" s="124"/>
      <c r="U2" s="124"/>
    </row>
    <row r="3" spans="1:23" ht="50.25" hidden="1" customHeight="1" x14ac:dyDescent="0.2">
      <c r="A3" s="609"/>
      <c r="B3" s="412" t="s">
        <v>14</v>
      </c>
      <c r="C3" s="435" t="s">
        <v>269</v>
      </c>
      <c r="D3" s="436" t="s">
        <v>16</v>
      </c>
      <c r="E3" s="437" t="s">
        <v>168</v>
      </c>
      <c r="F3" s="438"/>
      <c r="G3" s="439"/>
      <c r="H3" s="438"/>
      <c r="I3" s="439" t="s">
        <v>169</v>
      </c>
      <c r="J3" s="438"/>
      <c r="K3" s="411"/>
      <c r="L3" s="413">
        <v>2499130</v>
      </c>
      <c r="M3" s="440">
        <v>1805034.35</v>
      </c>
      <c r="N3" s="549">
        <v>1327574.94</v>
      </c>
      <c r="O3" s="549">
        <v>1327574.94</v>
      </c>
      <c r="P3" s="438"/>
      <c r="Q3" s="513" t="s">
        <v>170</v>
      </c>
      <c r="R3" s="441"/>
      <c r="S3" s="438"/>
      <c r="T3" s="3"/>
      <c r="U3" s="253"/>
      <c r="V3" s="82"/>
      <c r="W3" s="82"/>
    </row>
    <row r="4" spans="1:23" ht="30" hidden="1" customHeight="1" x14ac:dyDescent="0.2">
      <c r="A4" s="609"/>
      <c r="B4" s="171" t="s">
        <v>121</v>
      </c>
      <c r="C4" s="171" t="s">
        <v>300</v>
      </c>
      <c r="D4" s="172" t="s">
        <v>16</v>
      </c>
      <c r="E4" s="637" t="s">
        <v>301</v>
      </c>
      <c r="F4" s="642" t="s">
        <v>302</v>
      </c>
      <c r="G4" s="166" t="s">
        <v>303</v>
      </c>
      <c r="H4" s="164" t="s">
        <v>304</v>
      </c>
      <c r="I4" s="624" t="s">
        <v>175</v>
      </c>
      <c r="J4" s="624"/>
      <c r="K4" s="624" t="s">
        <v>305</v>
      </c>
      <c r="L4" s="414">
        <v>100800</v>
      </c>
      <c r="M4" s="167">
        <v>100800</v>
      </c>
      <c r="N4" s="167">
        <v>2100</v>
      </c>
      <c r="O4" s="167">
        <v>2100</v>
      </c>
      <c r="P4" s="626" t="s">
        <v>165</v>
      </c>
      <c r="Q4" s="484" t="s">
        <v>170</v>
      </c>
      <c r="R4" s="638"/>
      <c r="S4" s="626" t="s">
        <v>306</v>
      </c>
      <c r="T4" s="3"/>
      <c r="U4" s="250"/>
      <c r="V4" s="82"/>
      <c r="W4" s="82"/>
    </row>
    <row r="5" spans="1:23" ht="64.5" hidden="1" customHeight="1" x14ac:dyDescent="0.2">
      <c r="A5" s="609"/>
      <c r="B5" s="171" t="s">
        <v>119</v>
      </c>
      <c r="C5" s="171" t="s">
        <v>300</v>
      </c>
      <c r="D5" s="172" t="s">
        <v>16</v>
      </c>
      <c r="E5" s="636"/>
      <c r="F5" s="643"/>
      <c r="G5" s="166" t="s">
        <v>307</v>
      </c>
      <c r="H5" s="164" t="s">
        <v>308</v>
      </c>
      <c r="I5" s="629"/>
      <c r="J5" s="629"/>
      <c r="K5" s="629"/>
      <c r="L5" s="414">
        <v>37800</v>
      </c>
      <c r="M5" s="167">
        <v>25200</v>
      </c>
      <c r="N5" s="167">
        <v>23100</v>
      </c>
      <c r="O5" s="167">
        <v>23100</v>
      </c>
      <c r="P5" s="626"/>
      <c r="Q5" s="484" t="s">
        <v>170</v>
      </c>
      <c r="R5" s="639"/>
      <c r="S5" s="626"/>
      <c r="T5" s="3"/>
      <c r="U5" s="251"/>
      <c r="V5" s="69"/>
    </row>
    <row r="6" spans="1:23" ht="64.5" customHeight="1" x14ac:dyDescent="0.2">
      <c r="A6" s="609"/>
      <c r="B6" s="171" t="s">
        <v>123</v>
      </c>
      <c r="C6" s="171" t="s">
        <v>300</v>
      </c>
      <c r="D6" s="172" t="s">
        <v>16</v>
      </c>
      <c r="E6" s="636"/>
      <c r="F6" s="643"/>
      <c r="G6" s="166" t="s">
        <v>309</v>
      </c>
      <c r="H6" s="164" t="s">
        <v>310</v>
      </c>
      <c r="I6" s="625"/>
      <c r="J6" s="625"/>
      <c r="K6" s="625"/>
      <c r="L6" s="414">
        <v>189000</v>
      </c>
      <c r="M6" s="417">
        <v>189000</v>
      </c>
      <c r="N6" s="417">
        <v>189000</v>
      </c>
      <c r="O6" s="417">
        <v>189000</v>
      </c>
      <c r="P6" s="626"/>
      <c r="Q6" s="484" t="s">
        <v>170</v>
      </c>
      <c r="R6" s="638"/>
      <c r="S6" s="626"/>
      <c r="T6" s="3"/>
      <c r="U6" s="251"/>
      <c r="V6" s="69"/>
    </row>
    <row r="7" spans="1:23" ht="108" x14ac:dyDescent="0.2">
      <c r="A7" s="609"/>
      <c r="B7" s="171" t="s">
        <v>123</v>
      </c>
      <c r="C7" s="171" t="s">
        <v>153</v>
      </c>
      <c r="D7" s="172" t="s">
        <v>16</v>
      </c>
      <c r="E7" s="415" t="s">
        <v>311</v>
      </c>
      <c r="F7" s="166" t="s">
        <v>312</v>
      </c>
      <c r="G7" s="166" t="s">
        <v>313</v>
      </c>
      <c r="H7" s="164" t="s">
        <v>310</v>
      </c>
      <c r="I7" s="164" t="s">
        <v>175</v>
      </c>
      <c r="J7" s="164"/>
      <c r="K7" s="164" t="s">
        <v>314</v>
      </c>
      <c r="L7" s="418">
        <v>500000</v>
      </c>
      <c r="M7" s="167"/>
      <c r="N7" s="174"/>
      <c r="O7" s="174"/>
      <c r="P7" s="164" t="s">
        <v>192</v>
      </c>
      <c r="Q7" s="484" t="s">
        <v>315</v>
      </c>
      <c r="R7" s="248" t="s">
        <v>316</v>
      </c>
      <c r="S7" s="172" t="s">
        <v>317</v>
      </c>
      <c r="T7" s="3"/>
      <c r="U7" s="251"/>
      <c r="V7" s="69"/>
    </row>
    <row r="8" spans="1:23" ht="29.25" hidden="1" customHeight="1" x14ac:dyDescent="0.2">
      <c r="A8" s="609"/>
      <c r="B8" s="171" t="s">
        <v>119</v>
      </c>
      <c r="C8" s="171" t="s">
        <v>153</v>
      </c>
      <c r="D8" s="172" t="s">
        <v>16</v>
      </c>
      <c r="E8" s="636" t="s">
        <v>318</v>
      </c>
      <c r="F8" s="613" t="s">
        <v>319</v>
      </c>
      <c r="G8" s="166" t="s">
        <v>320</v>
      </c>
      <c r="H8" s="164" t="s">
        <v>321</v>
      </c>
      <c r="I8" s="626" t="s">
        <v>175</v>
      </c>
      <c r="J8" s="626"/>
      <c r="K8" s="613" t="s">
        <v>322</v>
      </c>
      <c r="L8" s="419">
        <v>318084.92</v>
      </c>
      <c r="M8" s="167">
        <v>318084.92</v>
      </c>
      <c r="N8" s="167">
        <v>318084.92</v>
      </c>
      <c r="O8" s="167">
        <v>318084.92</v>
      </c>
      <c r="P8" s="626" t="s">
        <v>205</v>
      </c>
      <c r="Q8" s="484" t="s">
        <v>170</v>
      </c>
      <c r="R8" s="626"/>
      <c r="S8" s="626" t="s">
        <v>323</v>
      </c>
      <c r="T8" s="3"/>
      <c r="U8" s="251"/>
      <c r="V8" s="69"/>
    </row>
    <row r="9" spans="1:23" ht="24" hidden="1" x14ac:dyDescent="0.2">
      <c r="A9" s="609"/>
      <c r="B9" s="171" t="s">
        <v>121</v>
      </c>
      <c r="C9" s="171" t="s">
        <v>153</v>
      </c>
      <c r="D9" s="172" t="s">
        <v>16</v>
      </c>
      <c r="E9" s="637"/>
      <c r="F9" s="613"/>
      <c r="G9" s="166" t="s">
        <v>303</v>
      </c>
      <c r="H9" s="164" t="s">
        <v>304</v>
      </c>
      <c r="I9" s="626"/>
      <c r="J9" s="626"/>
      <c r="K9" s="613"/>
      <c r="L9" s="419">
        <v>566910.42000000004</v>
      </c>
      <c r="M9" s="167">
        <v>566910.42000000004</v>
      </c>
      <c r="N9" s="167">
        <v>566910.42000000004</v>
      </c>
      <c r="O9" s="167">
        <v>566910.42000000004</v>
      </c>
      <c r="P9" s="626"/>
      <c r="Q9" s="484" t="s">
        <v>170</v>
      </c>
      <c r="R9" s="630"/>
      <c r="S9" s="626"/>
      <c r="T9" s="3"/>
      <c r="U9" s="251"/>
      <c r="V9" s="69"/>
    </row>
    <row r="10" spans="1:23" ht="155.25" customHeight="1" x14ac:dyDescent="0.2">
      <c r="A10" s="609"/>
      <c r="B10" s="171" t="s">
        <v>123</v>
      </c>
      <c r="C10" s="171" t="s">
        <v>153</v>
      </c>
      <c r="D10" s="172" t="s">
        <v>16</v>
      </c>
      <c r="E10" s="636"/>
      <c r="F10" s="613"/>
      <c r="G10" s="166" t="s">
        <v>309</v>
      </c>
      <c r="H10" s="164" t="s">
        <v>310</v>
      </c>
      <c r="I10" s="626"/>
      <c r="J10" s="626"/>
      <c r="K10" s="613"/>
      <c r="L10" s="414">
        <v>1024746.67</v>
      </c>
      <c r="M10" s="167">
        <v>1024746.67</v>
      </c>
      <c r="N10" s="167">
        <v>1024746.67</v>
      </c>
      <c r="O10" s="167">
        <v>1024746.67</v>
      </c>
      <c r="P10" s="626"/>
      <c r="Q10" s="484" t="s">
        <v>170</v>
      </c>
      <c r="R10" s="630"/>
      <c r="S10" s="626"/>
      <c r="T10" s="3"/>
      <c r="U10" s="251"/>
      <c r="V10" s="82"/>
      <c r="W10" s="82"/>
    </row>
    <row r="11" spans="1:23" ht="67.5" customHeight="1" x14ac:dyDescent="0.2">
      <c r="A11" s="609"/>
      <c r="B11" s="171" t="s">
        <v>123</v>
      </c>
      <c r="C11" s="171" t="s">
        <v>153</v>
      </c>
      <c r="D11" s="172" t="s">
        <v>16</v>
      </c>
      <c r="E11" s="415" t="s">
        <v>324</v>
      </c>
      <c r="F11" s="166" t="s">
        <v>325</v>
      </c>
      <c r="G11" s="166" t="s">
        <v>309</v>
      </c>
      <c r="H11" s="164" t="s">
        <v>310</v>
      </c>
      <c r="I11" s="164" t="s">
        <v>175</v>
      </c>
      <c r="J11" s="164"/>
      <c r="K11" s="166" t="s">
        <v>326</v>
      </c>
      <c r="L11" s="414">
        <v>296765</v>
      </c>
      <c r="M11" s="167">
        <v>296764.87</v>
      </c>
      <c r="N11" s="167">
        <v>274507.5</v>
      </c>
      <c r="O11" s="167">
        <v>274507.5</v>
      </c>
      <c r="P11" s="164" t="s">
        <v>165</v>
      </c>
      <c r="Q11" s="484" t="s">
        <v>170</v>
      </c>
      <c r="R11" s="173"/>
      <c r="S11" s="164"/>
      <c r="T11" s="3"/>
      <c r="U11" s="251"/>
      <c r="V11" s="82"/>
      <c r="W11" s="82"/>
    </row>
    <row r="12" spans="1:23" ht="114.75" customHeight="1" x14ac:dyDescent="0.2">
      <c r="A12" s="609"/>
      <c r="B12" s="171" t="s">
        <v>123</v>
      </c>
      <c r="C12" s="171" t="s">
        <v>269</v>
      </c>
      <c r="D12" s="172" t="s">
        <v>16</v>
      </c>
      <c r="E12" s="415" t="s">
        <v>327</v>
      </c>
      <c r="F12" s="166" t="s">
        <v>328</v>
      </c>
      <c r="G12" s="166" t="s">
        <v>309</v>
      </c>
      <c r="H12" s="164" t="s">
        <v>310</v>
      </c>
      <c r="I12" s="164" t="s">
        <v>175</v>
      </c>
      <c r="J12" s="164"/>
      <c r="K12" s="166" t="s">
        <v>236</v>
      </c>
      <c r="L12" s="414">
        <v>1500000</v>
      </c>
      <c r="M12" s="167">
        <v>1425000</v>
      </c>
      <c r="N12" s="167">
        <v>1387500</v>
      </c>
      <c r="O12" s="167"/>
      <c r="P12" s="544" t="s">
        <v>329</v>
      </c>
      <c r="Q12" s="484" t="s">
        <v>330</v>
      </c>
      <c r="R12" s="248"/>
      <c r="S12" s="415" t="s">
        <v>331</v>
      </c>
      <c r="T12" s="3"/>
      <c r="U12" s="251"/>
      <c r="V12" s="82"/>
      <c r="W12" s="82"/>
    </row>
    <row r="13" spans="1:23" ht="43.5" customHeight="1" x14ac:dyDescent="0.2">
      <c r="A13" s="609"/>
      <c r="B13" s="171" t="s">
        <v>123</v>
      </c>
      <c r="C13" s="645" t="s">
        <v>269</v>
      </c>
      <c r="D13" s="172" t="s">
        <v>16</v>
      </c>
      <c r="E13" s="644" t="s">
        <v>332</v>
      </c>
      <c r="F13" s="613" t="s">
        <v>333</v>
      </c>
      <c r="G13" s="164" t="s">
        <v>309</v>
      </c>
      <c r="H13" s="164" t="s">
        <v>310</v>
      </c>
      <c r="I13" s="164" t="s">
        <v>175</v>
      </c>
      <c r="J13" s="172"/>
      <c r="K13" s="626" t="s">
        <v>334</v>
      </c>
      <c r="L13" s="414">
        <v>591641</v>
      </c>
      <c r="M13" s="174">
        <v>591641</v>
      </c>
      <c r="N13" s="167">
        <v>591641</v>
      </c>
      <c r="O13" s="167">
        <v>591641</v>
      </c>
      <c r="P13" s="626" t="s">
        <v>165</v>
      </c>
      <c r="Q13" s="484" t="s">
        <v>183</v>
      </c>
      <c r="R13" s="630"/>
      <c r="S13" s="626" t="s">
        <v>335</v>
      </c>
      <c r="T13" s="3"/>
      <c r="U13" s="251"/>
      <c r="V13" s="82"/>
      <c r="W13" s="82"/>
    </row>
    <row r="14" spans="1:23" ht="38.25" hidden="1" customHeight="1" x14ac:dyDescent="0.2">
      <c r="A14" s="609"/>
      <c r="B14" s="171" t="s">
        <v>119</v>
      </c>
      <c r="C14" s="645"/>
      <c r="D14" s="172" t="s">
        <v>16</v>
      </c>
      <c r="E14" s="644"/>
      <c r="F14" s="613"/>
      <c r="G14" s="164" t="s">
        <v>307</v>
      </c>
      <c r="H14" s="164" t="s">
        <v>321</v>
      </c>
      <c r="I14" s="164" t="s">
        <v>190</v>
      </c>
      <c r="J14" s="172"/>
      <c r="K14" s="626"/>
      <c r="L14" s="414">
        <v>781831</v>
      </c>
      <c r="M14" s="174">
        <v>781831</v>
      </c>
      <c r="N14" s="167">
        <v>697495</v>
      </c>
      <c r="O14" s="167">
        <v>697495</v>
      </c>
      <c r="P14" s="626"/>
      <c r="Q14" s="484" t="s">
        <v>183</v>
      </c>
      <c r="R14" s="626"/>
      <c r="S14" s="626"/>
      <c r="T14" s="3"/>
      <c r="U14" s="251"/>
      <c r="V14" s="82"/>
      <c r="W14" s="82"/>
    </row>
    <row r="15" spans="1:23" ht="22.5" hidden="1" customHeight="1" x14ac:dyDescent="0.2">
      <c r="A15" s="609"/>
      <c r="B15" s="171" t="s">
        <v>119</v>
      </c>
      <c r="C15" s="171" t="s">
        <v>269</v>
      </c>
      <c r="D15" s="172" t="s">
        <v>16</v>
      </c>
      <c r="E15" s="644" t="s">
        <v>336</v>
      </c>
      <c r="F15" s="613" t="s">
        <v>337</v>
      </c>
      <c r="G15" s="164" t="s">
        <v>307</v>
      </c>
      <c r="H15" s="164" t="s">
        <v>338</v>
      </c>
      <c r="I15" s="626" t="s">
        <v>175</v>
      </c>
      <c r="J15" s="626"/>
      <c r="K15" s="613" t="s">
        <v>339</v>
      </c>
      <c r="L15" s="421">
        <v>1000000</v>
      </c>
      <c r="M15" s="174">
        <v>1000000</v>
      </c>
      <c r="N15" s="167">
        <v>1000000</v>
      </c>
      <c r="O15" s="167">
        <v>1000000</v>
      </c>
      <c r="P15" s="626" t="s">
        <v>205</v>
      </c>
      <c r="Q15" s="484" t="s">
        <v>170</v>
      </c>
      <c r="R15" s="626"/>
      <c r="S15" s="613"/>
      <c r="T15" s="3"/>
      <c r="U15" s="251"/>
      <c r="V15" s="82"/>
      <c r="W15" s="82"/>
    </row>
    <row r="16" spans="1:23" ht="36" customHeight="1" x14ac:dyDescent="0.2">
      <c r="A16" s="609"/>
      <c r="B16" s="171" t="s">
        <v>123</v>
      </c>
      <c r="C16" s="171" t="s">
        <v>269</v>
      </c>
      <c r="D16" s="172" t="s">
        <v>16</v>
      </c>
      <c r="E16" s="644"/>
      <c r="F16" s="613"/>
      <c r="G16" s="164" t="s">
        <v>309</v>
      </c>
      <c r="H16" s="164" t="s">
        <v>310</v>
      </c>
      <c r="I16" s="626"/>
      <c r="J16" s="626"/>
      <c r="K16" s="613"/>
      <c r="L16" s="422">
        <v>1890000</v>
      </c>
      <c r="M16" s="167">
        <v>1890000</v>
      </c>
      <c r="N16" s="167">
        <v>1890000</v>
      </c>
      <c r="O16" s="167">
        <v>1890000</v>
      </c>
      <c r="P16" s="626"/>
      <c r="Q16" s="484" t="s">
        <v>170</v>
      </c>
      <c r="R16" s="630"/>
      <c r="S16" s="613"/>
      <c r="T16" s="3"/>
      <c r="U16" s="251"/>
      <c r="V16" s="82"/>
      <c r="W16" s="82"/>
    </row>
    <row r="17" spans="1:23" ht="21.75" hidden="1" customHeight="1" x14ac:dyDescent="0.2">
      <c r="A17" s="609"/>
      <c r="B17" s="171" t="s">
        <v>119</v>
      </c>
      <c r="C17" s="171" t="s">
        <v>153</v>
      </c>
      <c r="D17" s="164" t="s">
        <v>16</v>
      </c>
      <c r="E17" s="636" t="s">
        <v>340</v>
      </c>
      <c r="F17" s="613" t="s">
        <v>341</v>
      </c>
      <c r="G17" s="164" t="s">
        <v>320</v>
      </c>
      <c r="H17" s="164" t="s">
        <v>308</v>
      </c>
      <c r="I17" s="626" t="s">
        <v>175</v>
      </c>
      <c r="J17" s="626"/>
      <c r="K17" s="626" t="s">
        <v>342</v>
      </c>
      <c r="L17" s="414">
        <v>3195275</v>
      </c>
      <c r="M17" s="167">
        <v>3195275</v>
      </c>
      <c r="N17" s="167">
        <v>3195275</v>
      </c>
      <c r="O17" s="167">
        <v>3195275</v>
      </c>
      <c r="P17" s="626" t="s">
        <v>205</v>
      </c>
      <c r="Q17" s="484" t="s">
        <v>170</v>
      </c>
      <c r="R17" s="626"/>
      <c r="S17" s="636" t="s">
        <v>343</v>
      </c>
      <c r="T17" s="3"/>
      <c r="U17" s="251"/>
      <c r="V17" s="82"/>
      <c r="W17" s="82"/>
    </row>
    <row r="18" spans="1:23" ht="14.25" hidden="1" customHeight="1" x14ac:dyDescent="0.2">
      <c r="A18" s="609"/>
      <c r="B18" s="171" t="s">
        <v>121</v>
      </c>
      <c r="C18" s="171" t="s">
        <v>153</v>
      </c>
      <c r="D18" s="172" t="s">
        <v>16</v>
      </c>
      <c r="E18" s="636"/>
      <c r="F18" s="613"/>
      <c r="G18" s="166" t="s">
        <v>344</v>
      </c>
      <c r="H18" s="164" t="s">
        <v>304</v>
      </c>
      <c r="I18" s="626"/>
      <c r="J18" s="626"/>
      <c r="K18" s="626"/>
      <c r="L18" s="414">
        <v>1083600</v>
      </c>
      <c r="M18" s="167">
        <v>1083600</v>
      </c>
      <c r="N18" s="167">
        <v>1083600</v>
      </c>
      <c r="O18" s="167">
        <v>1083600</v>
      </c>
      <c r="P18" s="626"/>
      <c r="Q18" s="484" t="s">
        <v>170</v>
      </c>
      <c r="R18" s="626"/>
      <c r="S18" s="636"/>
      <c r="T18" s="3"/>
      <c r="U18" s="251"/>
      <c r="V18" s="82"/>
      <c r="W18" s="82"/>
    </row>
    <row r="19" spans="1:23" ht="12.75" customHeight="1" x14ac:dyDescent="0.2">
      <c r="A19" s="609"/>
      <c r="B19" s="171" t="s">
        <v>123</v>
      </c>
      <c r="C19" s="171" t="s">
        <v>269</v>
      </c>
      <c r="D19" s="172" t="s">
        <v>16</v>
      </c>
      <c r="E19" s="636"/>
      <c r="F19" s="613"/>
      <c r="G19" s="166" t="s">
        <v>309</v>
      </c>
      <c r="H19" s="164" t="s">
        <v>310</v>
      </c>
      <c r="I19" s="626"/>
      <c r="J19" s="626"/>
      <c r="K19" s="626"/>
      <c r="L19" s="414">
        <v>732825</v>
      </c>
      <c r="M19" s="167">
        <v>732825</v>
      </c>
      <c r="N19" s="167">
        <v>732825</v>
      </c>
      <c r="O19" s="167">
        <v>732825</v>
      </c>
      <c r="P19" s="626"/>
      <c r="Q19" s="484" t="s">
        <v>170</v>
      </c>
      <c r="R19" s="626"/>
      <c r="S19" s="636"/>
      <c r="T19" s="3"/>
      <c r="U19" s="251"/>
      <c r="V19" s="82"/>
      <c r="W19" s="82"/>
    </row>
    <row r="20" spans="1:23" ht="37.5" hidden="1" customHeight="1" x14ac:dyDescent="0.2">
      <c r="A20" s="609"/>
      <c r="B20" s="171" t="s">
        <v>121</v>
      </c>
      <c r="C20" s="171" t="s">
        <v>153</v>
      </c>
      <c r="D20" s="172" t="s">
        <v>16</v>
      </c>
      <c r="E20" s="420" t="s">
        <v>345</v>
      </c>
      <c r="F20" s="166" t="s">
        <v>346</v>
      </c>
      <c r="G20" s="164" t="s">
        <v>344</v>
      </c>
      <c r="H20" s="164" t="s">
        <v>304</v>
      </c>
      <c r="I20" s="164" t="s">
        <v>175</v>
      </c>
      <c r="J20" s="423"/>
      <c r="K20" s="164" t="s">
        <v>347</v>
      </c>
      <c r="L20" s="424">
        <v>1981677</v>
      </c>
      <c r="M20" s="424">
        <v>1981676.79</v>
      </c>
      <c r="N20" s="167">
        <v>1504625</v>
      </c>
      <c r="O20" s="167">
        <v>1504625</v>
      </c>
      <c r="P20" s="164" t="s">
        <v>165</v>
      </c>
      <c r="Q20" s="484" t="s">
        <v>348</v>
      </c>
      <c r="R20" s="248" t="s">
        <v>349</v>
      </c>
      <c r="S20" s="172" t="s">
        <v>350</v>
      </c>
      <c r="T20" s="3"/>
      <c r="U20" s="251"/>
      <c r="V20" s="82"/>
      <c r="W20" s="82"/>
    </row>
    <row r="21" spans="1:23" ht="21.75" hidden="1" customHeight="1" x14ac:dyDescent="0.2">
      <c r="A21" s="609"/>
      <c r="B21" s="171" t="s">
        <v>121</v>
      </c>
      <c r="C21" s="645" t="s">
        <v>269</v>
      </c>
      <c r="D21" s="172" t="s">
        <v>18</v>
      </c>
      <c r="E21" s="636" t="s">
        <v>351</v>
      </c>
      <c r="F21" s="613" t="s">
        <v>352</v>
      </c>
      <c r="G21" s="626" t="s">
        <v>344</v>
      </c>
      <c r="H21" s="626" t="s">
        <v>304</v>
      </c>
      <c r="I21" s="626" t="s">
        <v>175</v>
      </c>
      <c r="J21" s="626"/>
      <c r="K21" s="626" t="s">
        <v>353</v>
      </c>
      <c r="L21" s="419">
        <v>778587</v>
      </c>
      <c r="M21" s="425"/>
      <c r="N21" s="167"/>
      <c r="O21" s="167"/>
      <c r="P21" s="626" t="s">
        <v>192</v>
      </c>
      <c r="Q21" s="631" t="s">
        <v>348</v>
      </c>
      <c r="R21" s="630" t="s">
        <v>354</v>
      </c>
      <c r="S21" s="635" t="s">
        <v>355</v>
      </c>
      <c r="T21" s="3"/>
      <c r="U21" s="251"/>
      <c r="V21" s="82"/>
      <c r="W21" s="82"/>
    </row>
    <row r="22" spans="1:23" ht="36.75" hidden="1" customHeight="1" x14ac:dyDescent="0.2">
      <c r="A22" s="609"/>
      <c r="B22" s="171" t="s">
        <v>121</v>
      </c>
      <c r="C22" s="645"/>
      <c r="D22" s="172" t="s">
        <v>16</v>
      </c>
      <c r="E22" s="636"/>
      <c r="F22" s="613"/>
      <c r="G22" s="626"/>
      <c r="H22" s="626"/>
      <c r="I22" s="626"/>
      <c r="J22" s="626"/>
      <c r="K22" s="626"/>
      <c r="L22" s="419">
        <v>644086</v>
      </c>
      <c r="M22" s="174"/>
      <c r="N22" s="167"/>
      <c r="O22" s="167"/>
      <c r="P22" s="626"/>
      <c r="Q22" s="633"/>
      <c r="R22" s="630"/>
      <c r="S22" s="635"/>
      <c r="T22" s="3"/>
      <c r="U22" s="251"/>
      <c r="V22" s="82"/>
      <c r="W22" s="82"/>
    </row>
    <row r="23" spans="1:23" ht="120" hidden="1" x14ac:dyDescent="0.2">
      <c r="A23" s="609"/>
      <c r="B23" s="171" t="s">
        <v>121</v>
      </c>
      <c r="C23" s="171" t="s">
        <v>269</v>
      </c>
      <c r="D23" s="172" t="s">
        <v>16</v>
      </c>
      <c r="E23" s="420" t="s">
        <v>356</v>
      </c>
      <c r="F23" s="166" t="s">
        <v>357</v>
      </c>
      <c r="G23" s="164" t="s">
        <v>344</v>
      </c>
      <c r="H23" s="164" t="s">
        <v>304</v>
      </c>
      <c r="I23" s="164" t="s">
        <v>175</v>
      </c>
      <c r="J23" s="164"/>
      <c r="K23" s="166" t="s">
        <v>281</v>
      </c>
      <c r="L23" s="419">
        <v>586703</v>
      </c>
      <c r="M23" s="167">
        <v>586703</v>
      </c>
      <c r="N23" s="167"/>
      <c r="O23" s="167"/>
      <c r="P23" s="164" t="s">
        <v>165</v>
      </c>
      <c r="Q23" s="484" t="s">
        <v>330</v>
      </c>
      <c r="R23" s="545" t="s">
        <v>358</v>
      </c>
      <c r="S23" s="248"/>
      <c r="T23" s="3"/>
      <c r="U23" s="251"/>
    </row>
    <row r="24" spans="1:23" ht="39" hidden="1" customHeight="1" x14ac:dyDescent="0.2">
      <c r="A24" s="609"/>
      <c r="B24" s="171" t="s">
        <v>121</v>
      </c>
      <c r="C24" s="171" t="s">
        <v>269</v>
      </c>
      <c r="D24" s="172" t="s">
        <v>16</v>
      </c>
      <c r="E24" s="415" t="s">
        <v>359</v>
      </c>
      <c r="F24" s="416" t="s">
        <v>360</v>
      </c>
      <c r="G24" s="164" t="s">
        <v>303</v>
      </c>
      <c r="H24" s="164" t="s">
        <v>304</v>
      </c>
      <c r="I24" s="164" t="s">
        <v>361</v>
      </c>
      <c r="J24" s="172"/>
      <c r="K24" s="166" t="s">
        <v>263</v>
      </c>
      <c r="L24" s="174">
        <v>139331.79</v>
      </c>
      <c r="M24" s="174">
        <v>139331.79</v>
      </c>
      <c r="N24" s="167">
        <v>139331.79</v>
      </c>
      <c r="O24" s="167">
        <v>139331.79</v>
      </c>
      <c r="P24" s="164" t="s">
        <v>205</v>
      </c>
      <c r="Q24" s="484" t="s">
        <v>170</v>
      </c>
      <c r="R24" s="545"/>
      <c r="S24" s="248"/>
      <c r="T24" s="3"/>
      <c r="U24" s="251"/>
    </row>
    <row r="25" spans="1:23" ht="47.25" hidden="1" customHeight="1" x14ac:dyDescent="0.2">
      <c r="A25" s="609"/>
      <c r="B25" s="171" t="s">
        <v>119</v>
      </c>
      <c r="C25" s="171" t="s">
        <v>269</v>
      </c>
      <c r="D25" s="172" t="s">
        <v>16</v>
      </c>
      <c r="E25" s="514" t="s">
        <v>362</v>
      </c>
      <c r="F25" s="164" t="s">
        <v>363</v>
      </c>
      <c r="G25" s="166" t="s">
        <v>307</v>
      </c>
      <c r="H25" s="164" t="s">
        <v>308</v>
      </c>
      <c r="I25" s="164" t="s">
        <v>175</v>
      </c>
      <c r="J25" s="172"/>
      <c r="K25" s="164" t="s">
        <v>271</v>
      </c>
      <c r="L25" s="419">
        <v>1350000</v>
      </c>
      <c r="M25" s="167">
        <v>1350000</v>
      </c>
      <c r="N25" s="167">
        <v>810000</v>
      </c>
      <c r="O25" s="167"/>
      <c r="P25" s="164" t="s">
        <v>165</v>
      </c>
      <c r="Q25" s="484" t="s">
        <v>330</v>
      </c>
      <c r="R25" s="172" t="s">
        <v>364</v>
      </c>
      <c r="S25" s="426"/>
      <c r="T25" s="3"/>
      <c r="U25" s="251"/>
    </row>
    <row r="26" spans="1:23" ht="36" x14ac:dyDescent="0.2">
      <c r="A26" s="609"/>
      <c r="B26" s="171" t="s">
        <v>123</v>
      </c>
      <c r="C26" s="171" t="s">
        <v>269</v>
      </c>
      <c r="D26" s="172" t="s">
        <v>16</v>
      </c>
      <c r="E26" s="415" t="s">
        <v>365</v>
      </c>
      <c r="F26" s="166" t="s">
        <v>366</v>
      </c>
      <c r="G26" s="166" t="s">
        <v>309</v>
      </c>
      <c r="H26" s="172" t="s">
        <v>310</v>
      </c>
      <c r="I26" s="164" t="s">
        <v>190</v>
      </c>
      <c r="J26" s="172"/>
      <c r="K26" s="164" t="s">
        <v>367</v>
      </c>
      <c r="L26" s="419">
        <v>500000</v>
      </c>
      <c r="M26" s="428"/>
      <c r="N26" s="428"/>
      <c r="O26" s="428"/>
      <c r="P26" s="164" t="s">
        <v>192</v>
      </c>
      <c r="Q26" s="484" t="s">
        <v>348</v>
      </c>
      <c r="R26" s="173" t="s">
        <v>368</v>
      </c>
      <c r="S26" s="248"/>
      <c r="T26" s="3"/>
      <c r="U26" s="251"/>
    </row>
    <row r="27" spans="1:23" ht="48" x14ac:dyDescent="0.2">
      <c r="A27" s="609"/>
      <c r="B27" s="171" t="s">
        <v>123</v>
      </c>
      <c r="C27" s="171" t="s">
        <v>153</v>
      </c>
      <c r="D27" s="172" t="s">
        <v>16</v>
      </c>
      <c r="E27" s="415" t="s">
        <v>369</v>
      </c>
      <c r="F27" s="166" t="s">
        <v>370</v>
      </c>
      <c r="G27" s="166" t="s">
        <v>309</v>
      </c>
      <c r="H27" s="172" t="s">
        <v>310</v>
      </c>
      <c r="I27" s="172" t="s">
        <v>190</v>
      </c>
      <c r="J27" s="172"/>
      <c r="K27" s="164" t="s">
        <v>371</v>
      </c>
      <c r="L27" s="491">
        <v>890600</v>
      </c>
      <c r="M27" s="419">
        <v>889612</v>
      </c>
      <c r="N27" s="428">
        <v>885012</v>
      </c>
      <c r="O27" s="428">
        <v>885012</v>
      </c>
      <c r="P27" s="164" t="s">
        <v>165</v>
      </c>
      <c r="Q27" s="484" t="s">
        <v>170</v>
      </c>
      <c r="R27" s="429"/>
      <c r="S27" s="248"/>
      <c r="T27" s="3"/>
      <c r="U27" s="251"/>
    </row>
    <row r="28" spans="1:23" ht="24" hidden="1" x14ac:dyDescent="0.2">
      <c r="A28" s="609"/>
      <c r="B28" s="171" t="s">
        <v>119</v>
      </c>
      <c r="C28" s="171" t="s">
        <v>269</v>
      </c>
      <c r="D28" s="172" t="s">
        <v>16</v>
      </c>
      <c r="E28" s="415" t="s">
        <v>372</v>
      </c>
      <c r="F28" s="427"/>
      <c r="G28" s="166"/>
      <c r="H28" s="172"/>
      <c r="I28" s="172"/>
      <c r="J28" s="172"/>
      <c r="K28" s="164" t="s">
        <v>263</v>
      </c>
      <c r="L28" s="419">
        <v>10982.26</v>
      </c>
      <c r="M28" s="430">
        <v>20903.09</v>
      </c>
      <c r="N28" s="428">
        <v>20903.09</v>
      </c>
      <c r="O28" s="428">
        <v>20903.09</v>
      </c>
      <c r="P28" s="164" t="s">
        <v>205</v>
      </c>
      <c r="Q28" s="484" t="s">
        <v>170</v>
      </c>
      <c r="R28" s="172"/>
      <c r="S28" s="248"/>
      <c r="T28" s="3"/>
      <c r="U28" s="251"/>
    </row>
    <row r="29" spans="1:23" ht="24" hidden="1" x14ac:dyDescent="0.2">
      <c r="A29" s="609"/>
      <c r="B29" s="171" t="s">
        <v>119</v>
      </c>
      <c r="C29" s="634" t="s">
        <v>269</v>
      </c>
      <c r="D29" s="172" t="s">
        <v>16</v>
      </c>
      <c r="E29" s="626" t="s">
        <v>373</v>
      </c>
      <c r="F29" s="613" t="s">
        <v>296</v>
      </c>
      <c r="G29" s="166" t="s">
        <v>307</v>
      </c>
      <c r="H29" s="172" t="s">
        <v>321</v>
      </c>
      <c r="I29" s="626" t="s">
        <v>190</v>
      </c>
      <c r="J29" s="626"/>
      <c r="K29" s="626" t="s">
        <v>236</v>
      </c>
      <c r="L29" s="419">
        <v>200000</v>
      </c>
      <c r="M29" s="430">
        <v>200000</v>
      </c>
      <c r="N29" s="428">
        <v>200000</v>
      </c>
      <c r="O29" s="428">
        <v>200000</v>
      </c>
      <c r="P29" s="626" t="s">
        <v>165</v>
      </c>
      <c r="Q29" s="484" t="s">
        <v>330</v>
      </c>
      <c r="R29" s="626" t="s">
        <v>374</v>
      </c>
      <c r="S29" s="248"/>
      <c r="T29" s="3"/>
      <c r="U29" s="251"/>
    </row>
    <row r="30" spans="1:23" ht="12" hidden="1" customHeight="1" x14ac:dyDescent="0.2">
      <c r="A30" s="609"/>
      <c r="B30" s="171" t="s">
        <v>121</v>
      </c>
      <c r="C30" s="634"/>
      <c r="D30" s="172" t="s">
        <v>16</v>
      </c>
      <c r="E30" s="626"/>
      <c r="F30" s="613"/>
      <c r="G30" s="166" t="s">
        <v>344</v>
      </c>
      <c r="H30" s="172" t="s">
        <v>304</v>
      </c>
      <c r="I30" s="626"/>
      <c r="J30" s="626"/>
      <c r="K30" s="626"/>
      <c r="L30" s="419">
        <v>800000</v>
      </c>
      <c r="M30" s="430">
        <v>800000</v>
      </c>
      <c r="N30" s="428">
        <v>800000</v>
      </c>
      <c r="O30" s="428">
        <v>796359.86</v>
      </c>
      <c r="P30" s="626"/>
      <c r="Q30" s="484" t="s">
        <v>330</v>
      </c>
      <c r="R30" s="613"/>
      <c r="S30" s="630"/>
      <c r="T30" s="3"/>
      <c r="U30" s="251"/>
    </row>
    <row r="31" spans="1:23" ht="12" customHeight="1" x14ac:dyDescent="0.2">
      <c r="A31" s="609"/>
      <c r="B31" s="171" t="s">
        <v>123</v>
      </c>
      <c r="C31" s="634"/>
      <c r="D31" s="172" t="s">
        <v>16</v>
      </c>
      <c r="E31" s="626"/>
      <c r="F31" s="613"/>
      <c r="G31" s="166" t="s">
        <v>309</v>
      </c>
      <c r="H31" s="172" t="s">
        <v>310</v>
      </c>
      <c r="I31" s="626"/>
      <c r="J31" s="626"/>
      <c r="K31" s="626"/>
      <c r="L31" s="419">
        <v>1200000</v>
      </c>
      <c r="M31" s="430">
        <v>1000000</v>
      </c>
      <c r="N31" s="428">
        <v>1000000</v>
      </c>
      <c r="O31" s="428">
        <v>1000000</v>
      </c>
      <c r="P31" s="626"/>
      <c r="Q31" s="484" t="s">
        <v>330</v>
      </c>
      <c r="R31" s="613"/>
      <c r="S31" s="630"/>
      <c r="T31" s="3"/>
      <c r="U31" s="251"/>
    </row>
    <row r="32" spans="1:23" ht="12.75" hidden="1" customHeight="1" x14ac:dyDescent="0.2">
      <c r="A32" s="609"/>
      <c r="B32" s="171" t="s">
        <v>119</v>
      </c>
      <c r="C32" s="171" t="s">
        <v>269</v>
      </c>
      <c r="D32" s="535" t="s">
        <v>16</v>
      </c>
      <c r="E32" s="627" t="s">
        <v>336</v>
      </c>
      <c r="F32" s="628" t="s">
        <v>337</v>
      </c>
      <c r="G32" s="536" t="s">
        <v>307</v>
      </c>
      <c r="H32" s="172" t="s">
        <v>321</v>
      </c>
      <c r="I32" s="626" t="s">
        <v>190</v>
      </c>
      <c r="J32" s="626"/>
      <c r="K32" s="624" t="s">
        <v>375</v>
      </c>
      <c r="L32" s="419">
        <v>92568</v>
      </c>
      <c r="M32" s="430"/>
      <c r="N32" s="428"/>
      <c r="O32" s="428"/>
      <c r="P32" s="624" t="s">
        <v>192</v>
      </c>
      <c r="Q32" s="631" t="s">
        <v>348</v>
      </c>
      <c r="R32" s="626" t="s">
        <v>376</v>
      </c>
      <c r="S32" s="630"/>
      <c r="T32" s="3"/>
      <c r="U32" s="251"/>
    </row>
    <row r="33" spans="1:21" ht="24" hidden="1" x14ac:dyDescent="0.2">
      <c r="A33" s="609"/>
      <c r="B33" s="171" t="s">
        <v>121</v>
      </c>
      <c r="C33" s="171" t="s">
        <v>269</v>
      </c>
      <c r="D33" s="535" t="s">
        <v>16</v>
      </c>
      <c r="E33" s="627"/>
      <c r="F33" s="628"/>
      <c r="G33" s="536" t="s">
        <v>344</v>
      </c>
      <c r="H33" s="172" t="s">
        <v>304</v>
      </c>
      <c r="I33" s="626"/>
      <c r="J33" s="626"/>
      <c r="K33" s="629"/>
      <c r="L33" s="516">
        <v>291000</v>
      </c>
      <c r="M33" s="430"/>
      <c r="N33" s="428"/>
      <c r="O33" s="428"/>
      <c r="P33" s="629"/>
      <c r="Q33" s="632"/>
      <c r="R33" s="613"/>
      <c r="S33" s="173"/>
      <c r="T33" s="3"/>
      <c r="U33" s="251"/>
    </row>
    <row r="34" spans="1:21" ht="24" x14ac:dyDescent="0.2">
      <c r="A34" s="609"/>
      <c r="B34" s="171" t="s">
        <v>123</v>
      </c>
      <c r="C34" s="171" t="s">
        <v>269</v>
      </c>
      <c r="D34" s="535" t="s">
        <v>16</v>
      </c>
      <c r="E34" s="627"/>
      <c r="F34" s="628"/>
      <c r="G34" s="536" t="s">
        <v>309</v>
      </c>
      <c r="H34" s="172" t="s">
        <v>310</v>
      </c>
      <c r="I34" s="626"/>
      <c r="J34" s="626"/>
      <c r="K34" s="629"/>
      <c r="L34" s="419">
        <v>78216</v>
      </c>
      <c r="M34" s="430"/>
      <c r="N34" s="428"/>
      <c r="O34" s="428"/>
      <c r="P34" s="625"/>
      <c r="Q34" s="633"/>
      <c r="R34" s="613"/>
      <c r="S34" s="248"/>
      <c r="T34" s="3"/>
      <c r="U34" s="251"/>
    </row>
    <row r="35" spans="1:21" ht="36" customHeight="1" x14ac:dyDescent="0.2">
      <c r="A35" s="609"/>
      <c r="B35" s="171" t="s">
        <v>123</v>
      </c>
      <c r="C35" s="171" t="s">
        <v>269</v>
      </c>
      <c r="D35" s="535" t="s">
        <v>16</v>
      </c>
      <c r="E35" s="537" t="s">
        <v>377</v>
      </c>
      <c r="F35" s="538" t="s">
        <v>378</v>
      </c>
      <c r="G35" s="536" t="s">
        <v>309</v>
      </c>
      <c r="H35" s="172" t="s">
        <v>310</v>
      </c>
      <c r="I35" s="164" t="s">
        <v>190</v>
      </c>
      <c r="J35" s="164"/>
      <c r="K35" s="492" t="s">
        <v>339</v>
      </c>
      <c r="L35" s="419">
        <v>3893035</v>
      </c>
      <c r="M35" s="430"/>
      <c r="N35" s="428"/>
      <c r="O35" s="428"/>
      <c r="P35" s="164" t="s">
        <v>192</v>
      </c>
      <c r="Q35" s="484" t="s">
        <v>348</v>
      </c>
      <c r="R35" s="164" t="s">
        <v>379</v>
      </c>
      <c r="S35" s="248"/>
      <c r="T35" s="3"/>
      <c r="U35" s="251"/>
    </row>
    <row r="36" spans="1:21" ht="156" hidden="1" x14ac:dyDescent="0.2">
      <c r="A36" s="609"/>
      <c r="B36" s="171" t="s">
        <v>121</v>
      </c>
      <c r="C36" s="171" t="s">
        <v>269</v>
      </c>
      <c r="D36" s="172" t="s">
        <v>16</v>
      </c>
      <c r="E36" s="517" t="s">
        <v>380</v>
      </c>
      <c r="F36" s="166" t="s">
        <v>381</v>
      </c>
      <c r="G36" s="166" t="s">
        <v>344</v>
      </c>
      <c r="H36" s="172" t="s">
        <v>304</v>
      </c>
      <c r="I36" s="164" t="s">
        <v>190</v>
      </c>
      <c r="J36" s="172"/>
      <c r="K36" s="164" t="s">
        <v>382</v>
      </c>
      <c r="L36" s="175">
        <v>87200</v>
      </c>
      <c r="M36" s="175"/>
      <c r="N36" s="175"/>
      <c r="O36" s="175"/>
      <c r="P36" s="164" t="s">
        <v>192</v>
      </c>
      <c r="Q36" s="484" t="s">
        <v>348</v>
      </c>
      <c r="R36" s="172" t="s">
        <v>383</v>
      </c>
      <c r="S36" s="248"/>
      <c r="T36" s="3"/>
      <c r="U36" s="251"/>
    </row>
    <row r="37" spans="1:21" ht="12" hidden="1" customHeight="1" x14ac:dyDescent="0.2">
      <c r="A37" s="609"/>
      <c r="B37" s="431" t="s">
        <v>121</v>
      </c>
      <c r="C37" s="431" t="s">
        <v>269</v>
      </c>
      <c r="D37" s="172" t="s">
        <v>16</v>
      </c>
      <c r="E37" s="620" t="s">
        <v>384</v>
      </c>
      <c r="F37" s="622" t="s">
        <v>289</v>
      </c>
      <c r="G37" s="166" t="s">
        <v>344</v>
      </c>
      <c r="H37" s="172" t="s">
        <v>304</v>
      </c>
      <c r="I37" s="624" t="s">
        <v>190</v>
      </c>
      <c r="J37" s="172"/>
      <c r="K37" s="624" t="s">
        <v>281</v>
      </c>
      <c r="L37" s="430">
        <v>300000</v>
      </c>
      <c r="M37" s="430">
        <v>300000</v>
      </c>
      <c r="N37" s="430"/>
      <c r="O37" s="430"/>
      <c r="P37" s="624" t="s">
        <v>165</v>
      </c>
      <c r="Q37" s="172" t="s">
        <v>348</v>
      </c>
      <c r="R37" s="624" t="s">
        <v>385</v>
      </c>
      <c r="S37" s="248"/>
      <c r="T37" s="3"/>
      <c r="U37" s="251"/>
    </row>
    <row r="38" spans="1:21" ht="12" customHeight="1" x14ac:dyDescent="0.2">
      <c r="A38" s="609"/>
      <c r="B38" s="431" t="s">
        <v>123</v>
      </c>
      <c r="C38" s="431" t="s">
        <v>269</v>
      </c>
      <c r="D38" s="172" t="s">
        <v>16</v>
      </c>
      <c r="E38" s="621"/>
      <c r="F38" s="623"/>
      <c r="G38" s="166" t="s">
        <v>309</v>
      </c>
      <c r="H38" s="172" t="s">
        <v>310</v>
      </c>
      <c r="I38" s="625"/>
      <c r="J38" s="172"/>
      <c r="K38" s="625"/>
      <c r="L38" s="430">
        <v>300000</v>
      </c>
      <c r="M38" s="430">
        <v>300000</v>
      </c>
      <c r="N38" s="430"/>
      <c r="O38" s="430"/>
      <c r="P38" s="625"/>
      <c r="Q38" s="172" t="s">
        <v>348</v>
      </c>
      <c r="R38" s="625"/>
      <c r="S38" s="248"/>
      <c r="T38" s="3"/>
      <c r="U38" s="251"/>
    </row>
    <row r="39" spans="1:21" ht="12" customHeight="1" x14ac:dyDescent="0.2">
      <c r="A39" s="609"/>
      <c r="B39" s="431" t="s">
        <v>123</v>
      </c>
      <c r="C39" s="431" t="s">
        <v>269</v>
      </c>
      <c r="D39" s="172" t="s">
        <v>16</v>
      </c>
      <c r="E39" s="541" t="s">
        <v>386</v>
      </c>
      <c r="F39" s="542"/>
      <c r="G39" s="166" t="s">
        <v>309</v>
      </c>
      <c r="H39" s="172" t="s">
        <v>310</v>
      </c>
      <c r="I39" s="492" t="s">
        <v>387</v>
      </c>
      <c r="J39" s="172"/>
      <c r="K39" s="492" t="s">
        <v>388</v>
      </c>
      <c r="L39" s="430">
        <v>400000</v>
      </c>
      <c r="M39" s="430"/>
      <c r="N39" s="430"/>
      <c r="O39" s="430"/>
      <c r="P39" s="543" t="s">
        <v>389</v>
      </c>
      <c r="Q39" s="172" t="s">
        <v>348</v>
      </c>
      <c r="R39" s="492"/>
      <c r="S39" s="248"/>
      <c r="T39" s="3"/>
      <c r="U39" s="251"/>
    </row>
    <row r="40" spans="1:21" ht="15.75" hidden="1" customHeight="1" x14ac:dyDescent="0.2">
      <c r="A40" s="609"/>
      <c r="B40" s="611"/>
      <c r="C40" s="611"/>
      <c r="D40" s="611"/>
      <c r="E40" s="611"/>
      <c r="F40" s="611"/>
      <c r="G40" s="612" t="s">
        <v>50</v>
      </c>
      <c r="H40" s="612"/>
      <c r="I40" s="612"/>
      <c r="J40" s="612"/>
      <c r="K40" s="612"/>
      <c r="L40" s="168">
        <f>SUM(L3:L39)</f>
        <v>30832395.059999999</v>
      </c>
      <c r="M40" s="169">
        <f>SUM(M3:M36)</f>
        <v>21994939.899999999</v>
      </c>
      <c r="N40" s="169">
        <f>SUM(N3:N38)</f>
        <v>19664232.329999998</v>
      </c>
      <c r="O40" s="169">
        <f>SUM(O3:O38)</f>
        <v>17463092.189999998</v>
      </c>
      <c r="P40" s="613"/>
      <c r="Q40" s="613"/>
      <c r="R40" s="613"/>
      <c r="S40" s="613"/>
      <c r="T40" s="3"/>
      <c r="U40" s="3"/>
    </row>
    <row r="41" spans="1:21" ht="15.75" hidden="1" customHeight="1" x14ac:dyDescent="0.2">
      <c r="A41" s="609"/>
      <c r="B41" s="611"/>
      <c r="C41" s="611"/>
      <c r="D41" s="611"/>
      <c r="E41" s="611"/>
      <c r="F41" s="611"/>
      <c r="G41" s="616" t="s">
        <v>160</v>
      </c>
      <c r="H41" s="612"/>
      <c r="I41" s="612"/>
      <c r="J41" s="612"/>
      <c r="K41" s="612"/>
      <c r="L41" s="614">
        <f>'Consolidado 2026'!H32</f>
        <v>31127889</v>
      </c>
      <c r="M41" s="614"/>
      <c r="N41" s="614"/>
      <c r="O41" s="614"/>
      <c r="P41" s="613"/>
      <c r="Q41" s="613"/>
      <c r="R41" s="613"/>
      <c r="S41" s="613"/>
      <c r="T41" s="3"/>
      <c r="U41" s="3"/>
    </row>
    <row r="42" spans="1:21" ht="29.25" hidden="1" customHeight="1" x14ac:dyDescent="0.2">
      <c r="A42" s="609"/>
      <c r="B42" s="611"/>
      <c r="C42" s="611"/>
      <c r="D42" s="611"/>
      <c r="E42" s="611"/>
      <c r="F42" s="611"/>
      <c r="G42" s="612" t="s">
        <v>161</v>
      </c>
      <c r="H42" s="612"/>
      <c r="I42" s="612"/>
      <c r="J42" s="612"/>
      <c r="K42" s="612"/>
      <c r="L42" s="615">
        <f>L40/L41</f>
        <v>0.99050709991930386</v>
      </c>
      <c r="M42" s="615"/>
      <c r="N42" s="615"/>
      <c r="O42" s="615"/>
      <c r="P42" s="613"/>
      <c r="Q42" s="613"/>
      <c r="R42" s="613"/>
      <c r="S42" s="613"/>
      <c r="T42" s="3"/>
      <c r="U42" s="3"/>
    </row>
    <row r="43" spans="1:21" ht="26.25" customHeight="1" x14ac:dyDescent="0.4">
      <c r="C43" s="354"/>
      <c r="M43" s="518"/>
    </row>
    <row r="44" spans="1:21" ht="26.25" customHeight="1" x14ac:dyDescent="0.4">
      <c r="C44" s="354"/>
      <c r="E44" s="519"/>
    </row>
    <row r="45" spans="1:21" ht="26.25" customHeight="1" x14ac:dyDescent="0.4">
      <c r="C45" s="354"/>
      <c r="E45" s="520"/>
      <c r="F45" s="515"/>
      <c r="G45" s="521"/>
    </row>
    <row r="46" spans="1:21" ht="26.25" customHeight="1" x14ac:dyDescent="0.4">
      <c r="C46" s="354"/>
      <c r="E46" s="520"/>
      <c r="F46" s="124"/>
      <c r="G46" s="521"/>
    </row>
    <row r="47" spans="1:21" ht="26.25" customHeight="1" x14ac:dyDescent="0.4">
      <c r="C47" s="354"/>
    </row>
    <row r="48" spans="1:21" ht="26.25" customHeight="1" x14ac:dyDescent="0.4">
      <c r="C48" s="354"/>
    </row>
    <row r="49" spans="3:3" ht="26.25" customHeight="1" x14ac:dyDescent="0.4">
      <c r="C49" s="354"/>
    </row>
    <row r="50" spans="3:3" ht="26.25" customHeight="1" x14ac:dyDescent="0.4">
      <c r="C50" s="354"/>
    </row>
    <row r="51" spans="3:3" ht="26.25" customHeight="1" x14ac:dyDescent="0.4">
      <c r="C51" s="354"/>
    </row>
    <row r="52" spans="3:3" ht="26.25" customHeight="1" x14ac:dyDescent="0.4">
      <c r="C52" s="354"/>
    </row>
    <row r="53" spans="3:3" ht="26.25" customHeight="1" x14ac:dyDescent="0.4">
      <c r="C53" s="354"/>
    </row>
    <row r="54" spans="3:3" ht="26.25" customHeight="1" x14ac:dyDescent="0.4">
      <c r="C54" s="354"/>
    </row>
    <row r="55" spans="3:3" ht="26.25" customHeight="1" x14ac:dyDescent="0.4">
      <c r="C55" s="354"/>
    </row>
    <row r="56" spans="3:3" ht="26.25" customHeight="1" x14ac:dyDescent="0.4">
      <c r="C56" s="354"/>
    </row>
    <row r="57" spans="3:3" ht="26.25" customHeight="1" x14ac:dyDescent="0.4">
      <c r="C57" s="354"/>
    </row>
    <row r="58" spans="3:3" ht="26.25" customHeight="1" x14ac:dyDescent="0.4">
      <c r="C58" s="354"/>
    </row>
    <row r="59" spans="3:3" ht="26.25" customHeight="1" x14ac:dyDescent="0.4">
      <c r="C59" s="354"/>
    </row>
    <row r="60" spans="3:3" ht="26.25" customHeight="1" x14ac:dyDescent="0.4">
      <c r="C60" s="354"/>
    </row>
    <row r="61" spans="3:3" ht="26.25" customHeight="1" x14ac:dyDescent="0.4">
      <c r="C61" s="354"/>
    </row>
    <row r="62" spans="3:3" ht="26.25" customHeight="1" x14ac:dyDescent="0.4">
      <c r="C62" s="354"/>
    </row>
    <row r="63" spans="3:3" ht="26.25" customHeight="1" x14ac:dyDescent="0.4">
      <c r="C63" s="354"/>
    </row>
    <row r="64" spans="3:3" ht="26.25" customHeight="1" x14ac:dyDescent="0.4">
      <c r="C64" s="354"/>
    </row>
    <row r="65" spans="3:3" ht="26.25" customHeight="1" x14ac:dyDescent="0.4">
      <c r="C65" s="354"/>
    </row>
    <row r="66" spans="3:3" ht="26.25" customHeight="1" x14ac:dyDescent="0.4">
      <c r="C66" s="354"/>
    </row>
    <row r="67" spans="3:3" ht="26.25" customHeight="1" x14ac:dyDescent="0.4">
      <c r="C67" s="354"/>
    </row>
    <row r="68" spans="3:3" ht="26.25" customHeight="1" x14ac:dyDescent="0.4">
      <c r="C68" s="354"/>
    </row>
    <row r="69" spans="3:3" ht="26.25" customHeight="1" x14ac:dyDescent="0.4">
      <c r="C69" s="354"/>
    </row>
    <row r="70" spans="3:3" ht="26.25" customHeight="1" x14ac:dyDescent="0.4">
      <c r="C70" s="354"/>
    </row>
    <row r="71" spans="3:3" ht="26.25" customHeight="1" x14ac:dyDescent="0.4">
      <c r="C71" s="354"/>
    </row>
    <row r="72" spans="3:3" ht="26.25" customHeight="1" x14ac:dyDescent="0.4">
      <c r="C72" s="354"/>
    </row>
    <row r="73" spans="3:3" ht="26.25" customHeight="1" x14ac:dyDescent="0.4">
      <c r="C73" s="354"/>
    </row>
    <row r="74" spans="3:3" ht="26.25" customHeight="1" x14ac:dyDescent="0.4">
      <c r="C74" s="354"/>
    </row>
    <row r="75" spans="3:3" ht="26.25" customHeight="1" x14ac:dyDescent="0.4">
      <c r="C75" s="354"/>
    </row>
    <row r="76" spans="3:3" ht="26.25" customHeight="1" x14ac:dyDescent="0.4">
      <c r="C76" s="354"/>
    </row>
  </sheetData>
  <autoFilter ref="A2:W42" xr:uid="{FD9D02CF-FB72-4500-BE94-C3479F88D788}">
    <filterColumn colId="1">
      <filters>
        <filter val="0003"/>
      </filters>
    </filterColumn>
  </autoFilter>
  <mergeCells count="83">
    <mergeCell ref="R37:R38"/>
    <mergeCell ref="C13:C14"/>
    <mergeCell ref="E13:E14"/>
    <mergeCell ref="F13:F14"/>
    <mergeCell ref="K13:K14"/>
    <mergeCell ref="I17:I19"/>
    <mergeCell ref="J17:J19"/>
    <mergeCell ref="K17:K19"/>
    <mergeCell ref="I15:I16"/>
    <mergeCell ref="J15:J16"/>
    <mergeCell ref="C21:C22"/>
    <mergeCell ref="E21:E22"/>
    <mergeCell ref="F17:F19"/>
    <mergeCell ref="F21:F22"/>
    <mergeCell ref="G21:G22"/>
    <mergeCell ref="H21:H22"/>
    <mergeCell ref="S17:S19"/>
    <mergeCell ref="P17:P19"/>
    <mergeCell ref="R17:R19"/>
    <mergeCell ref="P13:P14"/>
    <mergeCell ref="S13:S14"/>
    <mergeCell ref="R13:R14"/>
    <mergeCell ref="P15:P16"/>
    <mergeCell ref="R15:R16"/>
    <mergeCell ref="S15:S16"/>
    <mergeCell ref="A1:S1"/>
    <mergeCell ref="A3:A42"/>
    <mergeCell ref="B40:F42"/>
    <mergeCell ref="G40:K40"/>
    <mergeCell ref="G41:K41"/>
    <mergeCell ref="L41:O41"/>
    <mergeCell ref="G42:K42"/>
    <mergeCell ref="L42:O42"/>
    <mergeCell ref="P40:S42"/>
    <mergeCell ref="E4:E6"/>
    <mergeCell ref="F4:F6"/>
    <mergeCell ref="I4:I6"/>
    <mergeCell ref="K15:K16"/>
    <mergeCell ref="E15:E16"/>
    <mergeCell ref="F15:F16"/>
    <mergeCell ref="E17:E19"/>
    <mergeCell ref="P4:P6"/>
    <mergeCell ref="S4:S6"/>
    <mergeCell ref="P8:P10"/>
    <mergeCell ref="R8:R10"/>
    <mergeCell ref="S8:S10"/>
    <mergeCell ref="R4:R6"/>
    <mergeCell ref="J4:J6"/>
    <mergeCell ref="K4:K6"/>
    <mergeCell ref="E8:E10"/>
    <mergeCell ref="F8:F10"/>
    <mergeCell ref="I8:I10"/>
    <mergeCell ref="J8:J10"/>
    <mergeCell ref="K8:K10"/>
    <mergeCell ref="I21:I22"/>
    <mergeCell ref="J21:J22"/>
    <mergeCell ref="K21:K22"/>
    <mergeCell ref="P21:P22"/>
    <mergeCell ref="S21:S22"/>
    <mergeCell ref="R21:R22"/>
    <mergeCell ref="Q21:Q22"/>
    <mergeCell ref="C29:C31"/>
    <mergeCell ref="E29:E31"/>
    <mergeCell ref="F29:F31"/>
    <mergeCell ref="I29:I31"/>
    <mergeCell ref="J29:J31"/>
    <mergeCell ref="K29:K31"/>
    <mergeCell ref="S30:S32"/>
    <mergeCell ref="P29:P31"/>
    <mergeCell ref="R29:R31"/>
    <mergeCell ref="P32:P34"/>
    <mergeCell ref="R32:R34"/>
    <mergeCell ref="Q32:Q34"/>
    <mergeCell ref="I32:I34"/>
    <mergeCell ref="J32:J34"/>
    <mergeCell ref="E32:E34"/>
    <mergeCell ref="F32:F34"/>
    <mergeCell ref="K32:K34"/>
    <mergeCell ref="E37:E38"/>
    <mergeCell ref="F37:F38"/>
    <mergeCell ref="I37:I38"/>
    <mergeCell ref="K37:K38"/>
    <mergeCell ref="P37:P38"/>
  </mergeCells>
  <dataValidations count="5">
    <dataValidation type="list" allowBlank="1" showInputMessage="1" showErrorMessage="1" sqref="C12 C23:C24 C1:C10 C16:C21 C26:C29 C32:C1048576" xr:uid="{6EA6DBAE-A476-46EF-B916-E89443E6A6A4}">
      <formula1>"2023,2024,2025,2026"</formula1>
    </dataValidation>
    <dataValidation type="list" allowBlank="1" showInputMessage="1" showErrorMessage="1" sqref="B1 B3:B1048576" xr:uid="{63C6088B-4635-44CD-B85A-9E5F722CD531}">
      <formula1>"0000,0001,0002,0003,0004"</formula1>
    </dataValidation>
    <dataValidation type="list" allowBlank="1" showInputMessage="1" showErrorMessage="1" sqref="B2" xr:uid="{CB00BAA9-62C8-410E-97BA-A447C8411478}">
      <formula1>"0000,0001,0002"</formula1>
    </dataValidation>
    <dataValidation type="list" allowBlank="1" showInputMessage="1" showErrorMessage="1" sqref="D19 D4:D17 D21:D25" xr:uid="{8AA09C75-7B9A-43C5-BA3A-4C5BF71F5594}">
      <formula1>"Despesas correntes,Investimento"</formula1>
    </dataValidation>
    <dataValidation allowBlank="1" showInputMessage="1" showErrorMessage="1" sqref="Q2" xr:uid="{964DFCC7-72CE-4C91-9054-057553E063F1}"/>
  </dataValidations>
  <printOptions horizontalCentered="1" gridLines="1"/>
  <pageMargins left="0.511811024" right="0.511811024" top="0.78740157499999996" bottom="0.78740157499999996" header="0.31496062000000002" footer="0.31496062000000002"/>
  <pageSetup paperSize="9" scale="3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62" operator="containsText" id="{AA81A1E9-86E9-4FAE-839E-B6E71C483558}">
            <xm:f>NOT(ISERROR(SEARCH(Planilha1!$B$9,P4)))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263" operator="containsText" id="{EA28BEC8-0C57-4221-9E7B-CC18CC58937B}">
            <xm:f>NOT(ISERROR(SEARCH(Planilha1!$B$8,P4)))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264" operator="containsText" id="{6A1126A0-1165-4435-9986-ABDBBCE1AA11}">
            <xm:f>NOT(ISERROR(SEARCH(Planilha1!$B$6,P4)))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67" operator="containsText" id="{F033E68D-8015-4303-B0EF-BF7A4EF0424C}">
            <xm:f>NOT(ISERROR(SEARCH(Planilha1!$B$4,P4)))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268" operator="containsText" id="{371440BA-9514-4B59-9443-291E2D1CBC04}">
            <xm:f>NOT(ISERROR(SEARCH(Planilha1!$B$5,P4)))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P4 P11:P13 P17 P23:P29 P32:P33 P35:P37 Q38:Q39</xm:sqref>
        </x14:conditionalFormatting>
        <x14:conditionalFormatting xmlns:xm="http://schemas.microsoft.com/office/excel/2006/main">
          <x14:cfRule type="containsText" priority="32" operator="containsText" id="{EAB130CE-6D99-444F-BDD4-F3E7C0D8D609}">
            <xm:f>NOT(ISERROR(SEARCH(Planilha1!$B$9,P7)))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33" operator="containsText" id="{23C9C36E-006F-4D51-983D-9E04E5CCFD44}">
            <xm:f>NOT(ISERROR(SEARCH(Planilha1!$B$8,P7)))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34" operator="containsText" id="{7E52EB81-FC82-4BFC-8BDE-9BDA4B7605DB}">
            <xm:f>NOT(ISERROR(SEARCH(Planilha1!$B$6,P7)))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35" operator="containsText" id="{189C7F34-2588-4D65-89DC-337495C52D0C}">
            <xm:f>NOT(ISERROR(SEARCH(Planilha1!$B$4,P7)))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36" operator="containsText" id="{06745146-F0A5-404B-8337-9C50E1BD04AD}">
            <xm:f>NOT(ISERROR(SEARCH(Planilha1!$B$5,P7)))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P7:P8</xm:sqref>
        </x14:conditionalFormatting>
        <x14:conditionalFormatting xmlns:xm="http://schemas.microsoft.com/office/excel/2006/main">
          <x14:cfRule type="containsText" priority="47" operator="containsText" id="{28DF7196-A9B5-4A58-A098-537E8CBD512E}">
            <xm:f>NOT(ISERROR(SEARCH(Planilha1!$B$9,P15)))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48" operator="containsText" id="{249CA50D-6DE2-4ED4-8919-208CAF8777C2}">
            <xm:f>NOT(ISERROR(SEARCH(Planilha1!$B$8,P15)))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49" operator="containsText" id="{365FC561-2CE4-43CA-9338-70E87292798A}">
            <xm:f>NOT(ISERROR(SEARCH(Planilha1!$B$6,P15)))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50" operator="containsText" id="{7FF247FA-F241-40AF-976B-2416CA307756}">
            <xm:f>NOT(ISERROR(SEARCH(Planilha1!$B$4,P15)))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51" operator="containsText" id="{426387F1-BF1D-48FD-A106-EA27E161AB8F}">
            <xm:f>NOT(ISERROR(SEARCH(Planilha1!$B$5,P15)))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P15</xm:sqref>
        </x14:conditionalFormatting>
        <x14:conditionalFormatting xmlns:xm="http://schemas.microsoft.com/office/excel/2006/main">
          <x14:cfRule type="containsText" priority="1" operator="containsText" id="{FF881397-7E27-40E2-BDF6-5C30B0A741A7}">
            <xm:f>NOT(ISERROR(SEARCH(Planilha1!L7C2,P20)))</xm:f>
            <xm:f>Planilha1!L7C2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7" operator="containsText" id="{FACA5FDD-939C-496D-9276-796AEEE5981D}">
            <xm:f>NOT(ISERROR(SEARCH(Planilha1!$B$9,P20)))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28" operator="containsText" id="{DFE57A1E-A739-449C-9EC4-E345736B7024}">
            <xm:f>NOT(ISERROR(SEARCH(Planilha1!$B$8,P20)))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29" operator="containsText" id="{AF49EA79-64C7-40D4-823E-9FE937B7EC07}">
            <xm:f>NOT(ISERROR(SEARCH(Planilha1!$B$6,P20)))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30" operator="containsText" id="{84407641-6227-42E9-822B-DDA5179519B1}">
            <xm:f>NOT(ISERROR(SEARCH(Planilha1!$B$4,P20)))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31" operator="containsText" id="{28BAB9C9-5CF6-4F09-9282-ADA42BFF4F82}">
            <xm:f>NOT(ISERROR(SEARCH(Planilha1!$B$5,P20)))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P20:P21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C7FDFD9-355C-4987-B34D-3ED7F481B77C}">
          <x14:formula1>
            <xm:f>'Consolidado 2026'!$B$15:$B$15</xm:f>
          </x14:formula1>
          <xm:sqref>D1:D3 D20 D18 D26:D1048576</xm:sqref>
        </x14:dataValidation>
        <x14:dataValidation type="list" allowBlank="1" showInputMessage="1" showErrorMessage="1" xr:uid="{CA392F91-BAAE-4983-9431-9BE526713D15}">
          <x14:formula1>
            <xm:f>Planilha1!$D$3:$D$10</xm:f>
          </x14:formula1>
          <xm:sqref>Q35:Q36 Q3:Q21 Q23:Q32</xm:sqref>
        </x14:dataValidation>
        <x14:dataValidation type="list" allowBlank="1" showInputMessage="1" showErrorMessage="1" xr:uid="{67AAA88E-ABFC-4392-8E0A-02EEA7827DBA}">
          <x14:formula1>
            <xm:f>Planilha1!$B$4:$B$9</xm:f>
          </x14:formula1>
          <xm:sqref>P3:P39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1675-E844-4AF9-A541-FCB937ECE8DF}">
  <sheetPr>
    <pageSetUpPr fitToPage="1"/>
  </sheetPr>
  <dimension ref="A1:W11"/>
  <sheetViews>
    <sheetView zoomScaleNormal="10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L11" sqref="L11"/>
    </sheetView>
  </sheetViews>
  <sheetFormatPr defaultColWidth="8.7109375" defaultRowHeight="26.25" customHeight="1" x14ac:dyDescent="0.4"/>
  <cols>
    <col min="1" max="1" width="8.7109375" style="14"/>
    <col min="2" max="2" width="7.7109375" style="12" customWidth="1"/>
    <col min="3" max="3" width="10" style="7" customWidth="1"/>
    <col min="4" max="4" width="28.140625" style="396" customWidth="1"/>
    <col min="5" max="5" width="34" style="4" bestFit="1" customWidth="1"/>
    <col min="6" max="6" width="20.140625" style="7" customWidth="1"/>
    <col min="7" max="7" width="18" style="4" customWidth="1"/>
    <col min="8" max="8" width="12.85546875" style="7" customWidth="1"/>
    <col min="9" max="9" width="12.42578125" style="4" customWidth="1"/>
    <col min="10" max="10" width="9.5703125" style="4" customWidth="1"/>
    <col min="11" max="11" width="9.7109375" style="4" customWidth="1"/>
    <col min="12" max="12" width="14.7109375" style="10" customWidth="1"/>
    <col min="13" max="13" width="14.85546875" style="4" customWidth="1"/>
    <col min="14" max="14" width="13.140625" style="4" customWidth="1"/>
    <col min="15" max="15" width="14.42578125" style="4" customWidth="1"/>
    <col min="16" max="16" width="23.28515625" style="4" customWidth="1"/>
    <col min="17" max="17" width="19.28515625" style="354" customWidth="1"/>
    <col min="18" max="18" width="37.28515625" style="4" bestFit="1" customWidth="1"/>
    <col min="19" max="19" width="28.5703125" style="4" customWidth="1"/>
    <col min="20" max="20" width="8.7109375" style="4" customWidth="1"/>
    <col min="21" max="21" width="12.7109375" style="4" bestFit="1" customWidth="1"/>
    <col min="22" max="22" width="9" style="4" bestFit="1" customWidth="1"/>
    <col min="23" max="16384" width="8.7109375" style="4"/>
  </cols>
  <sheetData>
    <row r="1" spans="1:23" ht="20.45" customHeight="1" x14ac:dyDescent="0.2">
      <c r="A1" s="610" t="s">
        <v>142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3"/>
      <c r="U1" s="3"/>
    </row>
    <row r="2" spans="1:23" s="7" customFormat="1" ht="39.75" customHeight="1" x14ac:dyDescent="0.2">
      <c r="A2" s="159" t="s">
        <v>1</v>
      </c>
      <c r="B2" s="160" t="s">
        <v>3</v>
      </c>
      <c r="C2" s="159" t="s">
        <v>143</v>
      </c>
      <c r="D2" s="159" t="s">
        <v>144</v>
      </c>
      <c r="E2" s="161" t="s">
        <v>4</v>
      </c>
      <c r="F2" s="161" t="s">
        <v>145</v>
      </c>
      <c r="G2" s="161" t="s">
        <v>146</v>
      </c>
      <c r="H2" s="161" t="s">
        <v>147</v>
      </c>
      <c r="I2" s="161" t="s">
        <v>148</v>
      </c>
      <c r="J2" s="161" t="s">
        <v>149</v>
      </c>
      <c r="K2" s="161" t="s">
        <v>150</v>
      </c>
      <c r="L2" s="162" t="s">
        <v>151</v>
      </c>
      <c r="M2" s="163" t="s">
        <v>81</v>
      </c>
      <c r="N2" s="163" t="s">
        <v>82</v>
      </c>
      <c r="O2" s="163" t="s">
        <v>83</v>
      </c>
      <c r="P2" s="159" t="s">
        <v>152</v>
      </c>
      <c r="Q2" s="496" t="s">
        <v>166</v>
      </c>
      <c r="R2" s="170" t="s">
        <v>11</v>
      </c>
      <c r="S2" s="170" t="s">
        <v>167</v>
      </c>
      <c r="T2" s="124"/>
      <c r="U2" s="124"/>
    </row>
    <row r="3" spans="1:23" ht="84" customHeight="1" x14ac:dyDescent="0.2">
      <c r="A3" s="410" t="s">
        <v>94</v>
      </c>
      <c r="B3" s="522" t="s">
        <v>14</v>
      </c>
      <c r="C3" s="252" t="s">
        <v>269</v>
      </c>
      <c r="D3" s="164" t="s">
        <v>16</v>
      </c>
      <c r="E3" s="164" t="s">
        <v>390</v>
      </c>
      <c r="F3" s="165"/>
      <c r="G3" s="166" t="s">
        <v>94</v>
      </c>
      <c r="H3" s="164"/>
      <c r="I3" s="164" t="s">
        <v>158</v>
      </c>
      <c r="J3" s="248"/>
      <c r="K3" s="164"/>
      <c r="L3" s="460">
        <v>480000</v>
      </c>
      <c r="M3" s="460">
        <v>480000</v>
      </c>
      <c r="N3" s="460">
        <v>250016.27</v>
      </c>
      <c r="O3" s="460">
        <v>250016.27</v>
      </c>
      <c r="P3" s="164" t="s">
        <v>165</v>
      </c>
      <c r="Q3" s="484"/>
      <c r="R3" s="248"/>
      <c r="S3" s="248"/>
      <c r="T3" s="3"/>
      <c r="U3" s="250"/>
      <c r="V3" s="82"/>
      <c r="W3" s="82"/>
    </row>
    <row r="4" spans="1:23" ht="75.75" customHeight="1" x14ac:dyDescent="0.2">
      <c r="A4" s="410"/>
      <c r="B4" s="522" t="s">
        <v>119</v>
      </c>
      <c r="C4" s="252" t="s">
        <v>269</v>
      </c>
      <c r="D4" s="164" t="s">
        <v>16</v>
      </c>
      <c r="E4" s="164" t="s">
        <v>391</v>
      </c>
      <c r="F4" s="165" t="s">
        <v>392</v>
      </c>
      <c r="G4" s="166" t="s">
        <v>393</v>
      </c>
      <c r="H4" s="164" t="s">
        <v>394</v>
      </c>
      <c r="I4" s="164" t="s">
        <v>175</v>
      </c>
      <c r="J4" s="173"/>
      <c r="K4" s="164" t="s">
        <v>236</v>
      </c>
      <c r="L4" s="225">
        <v>3102827.5</v>
      </c>
      <c r="M4" s="225"/>
      <c r="N4" s="225"/>
      <c r="O4" s="167"/>
      <c r="P4" s="164" t="s">
        <v>192</v>
      </c>
      <c r="Q4" s="484" t="s">
        <v>170</v>
      </c>
      <c r="R4" s="461"/>
      <c r="S4" s="461"/>
      <c r="T4" s="3"/>
      <c r="U4" s="251"/>
      <c r="V4" s="69"/>
    </row>
    <row r="5" spans="1:23" ht="120" x14ac:dyDescent="0.2">
      <c r="A5" s="410"/>
      <c r="B5" s="522" t="s">
        <v>119</v>
      </c>
      <c r="C5" s="252" t="s">
        <v>269</v>
      </c>
      <c r="D5" s="164" t="s">
        <v>16</v>
      </c>
      <c r="E5" s="164" t="s">
        <v>395</v>
      </c>
      <c r="F5" s="165" t="s">
        <v>396</v>
      </c>
      <c r="G5" s="166" t="s">
        <v>397</v>
      </c>
      <c r="H5" s="164" t="s">
        <v>398</v>
      </c>
      <c r="I5" s="164" t="s">
        <v>175</v>
      </c>
      <c r="J5" s="173"/>
      <c r="K5" s="164" t="s">
        <v>271</v>
      </c>
      <c r="L5" s="548">
        <v>1270000</v>
      </c>
      <c r="M5" s="167">
        <v>1270000</v>
      </c>
      <c r="N5" s="167"/>
      <c r="O5" s="167"/>
      <c r="P5" s="164" t="s">
        <v>165</v>
      </c>
      <c r="Q5" s="484" t="s">
        <v>183</v>
      </c>
      <c r="R5" s="461" t="s">
        <v>399</v>
      </c>
      <c r="S5" s="461"/>
      <c r="T5" s="3"/>
      <c r="U5" s="251"/>
      <c r="V5" s="69"/>
    </row>
    <row r="6" spans="1:23" ht="64.5" customHeight="1" x14ac:dyDescent="0.2">
      <c r="A6" s="410"/>
      <c r="B6" s="171" t="s">
        <v>121</v>
      </c>
      <c r="C6" s="171" t="s">
        <v>269</v>
      </c>
      <c r="D6" s="164" t="s">
        <v>16</v>
      </c>
      <c r="E6" s="197" t="s">
        <v>400</v>
      </c>
      <c r="F6" s="165" t="s">
        <v>401</v>
      </c>
      <c r="G6" s="166" t="s">
        <v>402</v>
      </c>
      <c r="H6" s="164" t="s">
        <v>403</v>
      </c>
      <c r="I6" s="164"/>
      <c r="J6" s="164"/>
      <c r="K6" s="164"/>
      <c r="L6" s="554">
        <v>1521150</v>
      </c>
      <c r="M6" s="225">
        <v>1521150</v>
      </c>
      <c r="N6" s="167">
        <v>1521150</v>
      </c>
      <c r="O6" s="167">
        <v>1521150</v>
      </c>
      <c r="P6" s="164" t="s">
        <v>205</v>
      </c>
      <c r="Q6" s="484" t="s">
        <v>209</v>
      </c>
      <c r="R6" s="493"/>
      <c r="S6" s="461"/>
      <c r="T6" s="3"/>
      <c r="U6" s="251"/>
      <c r="V6" s="69"/>
    </row>
    <row r="7" spans="1:23" ht="15.75" customHeight="1" x14ac:dyDescent="0.2">
      <c r="A7" s="410"/>
      <c r="B7" s="387"/>
      <c r="C7" s="387"/>
      <c r="D7" s="463"/>
      <c r="E7" s="387"/>
      <c r="F7" s="387"/>
      <c r="G7" s="612" t="s">
        <v>50</v>
      </c>
      <c r="H7" s="612"/>
      <c r="I7" s="612"/>
      <c r="J7" s="612"/>
      <c r="K7" s="612"/>
      <c r="L7" s="464">
        <f>SUM(L3:L6)</f>
        <v>6373977.5</v>
      </c>
      <c r="M7" s="465">
        <f>SUM(M3:M6)</f>
        <v>3271150</v>
      </c>
      <c r="N7" s="465">
        <f>SUM(N3:N6)</f>
        <v>1771166.27</v>
      </c>
      <c r="O7" s="465">
        <f>SUM(O3:O6)</f>
        <v>1771166.27</v>
      </c>
      <c r="P7" s="166"/>
      <c r="Q7" s="427"/>
      <c r="R7" s="166"/>
      <c r="S7" s="166"/>
      <c r="T7" s="3"/>
      <c r="U7" s="3"/>
    </row>
    <row r="8" spans="1:23" ht="29.25" customHeight="1" x14ac:dyDescent="0.2">
      <c r="A8" s="410"/>
      <c r="B8" s="387"/>
      <c r="C8" s="387"/>
      <c r="D8" s="463"/>
      <c r="E8" s="387"/>
      <c r="F8" s="387"/>
      <c r="G8" s="616" t="s">
        <v>160</v>
      </c>
      <c r="H8" s="616"/>
      <c r="I8" s="616"/>
      <c r="J8" s="616"/>
      <c r="K8" s="616"/>
      <c r="L8" s="464">
        <f>'Consolidado 2026'!H17</f>
        <v>6383978</v>
      </c>
      <c r="M8" s="464"/>
      <c r="N8" s="464"/>
      <c r="O8" s="464"/>
      <c r="P8" s="166"/>
      <c r="Q8" s="427"/>
      <c r="R8" s="166"/>
      <c r="S8" s="166"/>
      <c r="T8" s="3"/>
      <c r="U8" s="3"/>
    </row>
    <row r="9" spans="1:23" ht="18.75" customHeight="1" x14ac:dyDescent="0.2">
      <c r="A9" s="410"/>
      <c r="B9" s="387"/>
      <c r="C9" s="387"/>
      <c r="D9" s="463"/>
      <c r="E9" s="387"/>
      <c r="F9" s="387"/>
      <c r="G9" s="612" t="s">
        <v>161</v>
      </c>
      <c r="H9" s="612"/>
      <c r="I9" s="612"/>
      <c r="J9" s="612"/>
      <c r="K9" s="612"/>
      <c r="L9" s="388">
        <f>L7/L8</f>
        <v>0.99843350024075894</v>
      </c>
      <c r="M9" s="388"/>
      <c r="N9" s="388"/>
      <c r="O9" s="388"/>
      <c r="P9" s="166"/>
      <c r="Q9" s="427"/>
      <c r="R9" s="166"/>
      <c r="S9" s="166"/>
      <c r="T9" s="3"/>
      <c r="U9" s="3"/>
    </row>
    <row r="11" spans="1:23" ht="26.25" customHeight="1" x14ac:dyDescent="0.4">
      <c r="P11" s="4" t="s">
        <v>298</v>
      </c>
    </row>
  </sheetData>
  <autoFilter ref="B2:S9" xr:uid="{747F1675-E844-4AF9-A541-FCB937ECE8DF}"/>
  <mergeCells count="4">
    <mergeCell ref="A1:S1"/>
    <mergeCell ref="G7:K7"/>
    <mergeCell ref="G8:K8"/>
    <mergeCell ref="G9:K9"/>
  </mergeCells>
  <dataValidations count="5">
    <dataValidation type="list" allowBlank="1" showInputMessage="1" showErrorMessage="1" sqref="B1:B2 B7:B1048576" xr:uid="{F096F333-632B-4814-80E6-2ECB3946F974}">
      <formula1>"0000,0001"</formula1>
    </dataValidation>
    <dataValidation allowBlank="1" showInputMessage="1" showErrorMessage="1" sqref="Q2" xr:uid="{0122803D-07E1-4C17-A8D5-F6CCD5EBBC21}"/>
    <dataValidation type="list" allowBlank="1" showInputMessage="1" showErrorMessage="1" sqref="B3:B6" xr:uid="{B01FF39D-2510-444A-90E4-9743908158A7}">
      <formula1>"0000,0001,0002"</formula1>
    </dataValidation>
    <dataValidation type="list" allowBlank="1" showInputMessage="1" showErrorMessage="1" sqref="C1:C1048576" xr:uid="{D9AB4EA3-256C-41C6-8607-8ECCE3D9C138}">
      <formula1>"2023,2024,2025,2026"</formula1>
    </dataValidation>
    <dataValidation type="list" allowBlank="1" showInputMessage="1" showErrorMessage="1" sqref="D1:D1048576" xr:uid="{1674ACC6-9244-4726-A0F0-145193F9AE28}">
      <formula1>"Despesas correntes,Investimento"</formula1>
    </dataValidation>
  </dataValidations>
  <printOptions horizontalCentered="1"/>
  <pageMargins left="0.25" right="0.25" top="0.75" bottom="0.75" header="0.3" footer="0.3"/>
  <pageSetup paperSize="9" scale="42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62690B2-B88F-4DAE-B2BA-614AC2C19415}">
            <xm:f>NOT(ISERROR(SEARCH(Planilha1!$B$9,P3)))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2" operator="containsText" id="{34441E77-523B-4EE6-B3A6-36E1666EFD2E}">
            <xm:f>NOT(ISERROR(SEARCH(Planilha1!$B$8,P3)))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3" operator="containsText" id="{30E06A20-1FB0-444D-AEBB-5B66966C78AB}">
            <xm:f>NOT(ISERROR(SEARCH(Planilha1!$B$6,P3)))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4" operator="containsText" id="{57D2B3B1-7935-4EA1-B3FA-A6C93BD2FE42}">
            <xm:f>NOT(ISERROR(SEARCH(Planilha1!$B$4,P3)))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5" operator="containsText" id="{2F0784D1-A3D0-46BD-B2BF-C403956CA849}">
            <xm:f>NOT(ISERROR(SEARCH(Planilha1!$B$5,P3)))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P3:P6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69C9209-E5EA-4F68-A11D-09ABD1806B70}">
          <x14:formula1>
            <xm:f>Planilha1!$B$4:$B$9</xm:f>
          </x14:formula1>
          <xm:sqref>P3:P6</xm:sqref>
        </x14:dataValidation>
        <x14:dataValidation type="list" allowBlank="1" showInputMessage="1" showErrorMessage="1" xr:uid="{FD1D4729-497F-4AA8-A6EA-3386314A8265}">
          <x14:formula1>
            <xm:f>Planilha1!$D$3:$D$10</xm:f>
          </x14:formula1>
          <xm:sqref>Q4:Q6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E4BD-293C-40B6-9B73-C7038CE782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32EA-E857-465C-83EB-32FAED096274}">
  <dimension ref="A1:H29"/>
  <sheetViews>
    <sheetView workbookViewId="0">
      <selection activeCell="F27" sqref="F27"/>
    </sheetView>
  </sheetViews>
  <sheetFormatPr defaultColWidth="9.140625" defaultRowHeight="15.75" x14ac:dyDescent="0.25"/>
  <cols>
    <col min="1" max="1" width="17.28515625" style="105" customWidth="1"/>
    <col min="2" max="4" width="9.140625" style="90"/>
    <col min="5" max="5" width="27.7109375" style="90" customWidth="1"/>
    <col min="6" max="6" width="30.28515625" style="90" customWidth="1"/>
    <col min="7" max="7" width="30.140625" style="90" customWidth="1"/>
    <col min="8" max="8" width="17.28515625" style="90" customWidth="1"/>
    <col min="9" max="16384" width="9.140625" style="90"/>
  </cols>
  <sheetData>
    <row r="1" spans="1:8" x14ac:dyDescent="0.25">
      <c r="A1" s="100" t="s">
        <v>404</v>
      </c>
      <c r="B1" s="88"/>
      <c r="C1" s="88"/>
      <c r="D1" s="89"/>
      <c r="E1" s="89"/>
      <c r="F1" s="89"/>
    </row>
    <row r="2" spans="1:8" x14ac:dyDescent="0.25">
      <c r="A2" s="101" t="s">
        <v>405</v>
      </c>
      <c r="B2" s="91"/>
      <c r="C2" s="91"/>
      <c r="D2" s="91"/>
      <c r="E2" s="89"/>
      <c r="F2" s="89"/>
    </row>
    <row r="3" spans="1:8" x14ac:dyDescent="0.25">
      <c r="A3" s="101" t="s">
        <v>406</v>
      </c>
      <c r="B3" s="91"/>
      <c r="C3" s="91"/>
      <c r="D3" s="91"/>
      <c r="E3" s="89"/>
      <c r="F3" s="89"/>
    </row>
    <row r="4" spans="1:8" x14ac:dyDescent="0.25">
      <c r="A4" s="102"/>
      <c r="B4" s="89"/>
      <c r="C4" s="89"/>
      <c r="D4" s="89"/>
      <c r="E4" s="89"/>
      <c r="F4" s="89"/>
    </row>
    <row r="5" spans="1:8" x14ac:dyDescent="0.25">
      <c r="A5" s="92" t="s">
        <v>407</v>
      </c>
      <c r="B5" s="92" t="s">
        <v>408</v>
      </c>
      <c r="C5" s="92" t="s">
        <v>3</v>
      </c>
      <c r="D5" s="92" t="s">
        <v>71</v>
      </c>
      <c r="E5" s="92" t="s">
        <v>409</v>
      </c>
      <c r="F5" s="92" t="s">
        <v>410</v>
      </c>
      <c r="G5" s="92" t="s">
        <v>411</v>
      </c>
    </row>
    <row r="6" spans="1:8" x14ac:dyDescent="0.25">
      <c r="A6" s="646" t="s">
        <v>412</v>
      </c>
      <c r="B6" s="647">
        <v>2000</v>
      </c>
      <c r="C6" s="127" t="s">
        <v>413</v>
      </c>
      <c r="D6" s="127">
        <v>3</v>
      </c>
      <c r="E6" s="107"/>
      <c r="F6" s="111"/>
      <c r="G6" s="110"/>
    </row>
    <row r="7" spans="1:8" x14ac:dyDescent="0.25">
      <c r="A7" s="646"/>
      <c r="B7" s="647"/>
      <c r="C7" s="127" t="s">
        <v>414</v>
      </c>
      <c r="D7" s="127">
        <v>3</v>
      </c>
      <c r="E7" s="107"/>
      <c r="F7" s="111"/>
      <c r="G7" s="110"/>
    </row>
    <row r="8" spans="1:8" x14ac:dyDescent="0.25">
      <c r="A8" s="646"/>
      <c r="B8" s="647"/>
      <c r="C8" s="127" t="s">
        <v>415</v>
      </c>
      <c r="D8" s="127">
        <v>3</v>
      </c>
      <c r="E8" s="107"/>
      <c r="F8" s="112"/>
      <c r="G8" s="110"/>
    </row>
    <row r="9" spans="1:8" x14ac:dyDescent="0.25">
      <c r="A9" s="646"/>
      <c r="B9" s="127" t="s">
        <v>416</v>
      </c>
      <c r="C9" s="127" t="s">
        <v>413</v>
      </c>
      <c r="D9" s="127">
        <v>3</v>
      </c>
      <c r="E9" s="108"/>
      <c r="F9" s="112"/>
      <c r="G9" s="110"/>
    </row>
    <row r="10" spans="1:8" x14ac:dyDescent="0.25">
      <c r="A10" s="103" t="s">
        <v>417</v>
      </c>
      <c r="B10" s="96" t="s">
        <v>418</v>
      </c>
      <c r="C10" s="96" t="s">
        <v>418</v>
      </c>
      <c r="D10" s="96" t="s">
        <v>418</v>
      </c>
      <c r="E10" s="97">
        <f>SUM(E6:E9)</f>
        <v>0</v>
      </c>
      <c r="F10" s="97">
        <f>SUM(F6:F9)</f>
        <v>0</v>
      </c>
      <c r="G10" s="110"/>
    </row>
    <row r="11" spans="1:8" ht="50.25" customHeight="1" x14ac:dyDescent="0.25">
      <c r="A11" s="126" t="s">
        <v>94</v>
      </c>
      <c r="B11" s="126" t="s">
        <v>419</v>
      </c>
      <c r="C11" s="126" t="s">
        <v>420</v>
      </c>
      <c r="D11" s="126">
        <v>3</v>
      </c>
      <c r="E11" s="109"/>
      <c r="F11" s="109"/>
      <c r="G11" s="121"/>
      <c r="H11" s="106"/>
    </row>
    <row r="12" spans="1:8" x14ac:dyDescent="0.25">
      <c r="A12" s="103" t="s">
        <v>421</v>
      </c>
      <c r="B12" s="96" t="s">
        <v>418</v>
      </c>
      <c r="C12" s="96" t="s">
        <v>418</v>
      </c>
      <c r="D12" s="96" t="s">
        <v>418</v>
      </c>
      <c r="E12" s="97">
        <f>E11</f>
        <v>0</v>
      </c>
      <c r="F12" s="113">
        <f>F11</f>
        <v>0</v>
      </c>
      <c r="G12" s="110"/>
    </row>
    <row r="13" spans="1:8" x14ac:dyDescent="0.25">
      <c r="A13" s="646" t="s">
        <v>114</v>
      </c>
      <c r="B13" s="647" t="s">
        <v>419</v>
      </c>
      <c r="C13" s="646" t="s">
        <v>422</v>
      </c>
      <c r="D13" s="127">
        <v>3</v>
      </c>
      <c r="E13" s="107"/>
      <c r="F13" s="112"/>
      <c r="G13" s="110"/>
    </row>
    <row r="14" spans="1:8" x14ac:dyDescent="0.25">
      <c r="A14" s="646"/>
      <c r="B14" s="647"/>
      <c r="C14" s="646"/>
      <c r="D14" s="127">
        <v>4</v>
      </c>
      <c r="E14" s="107"/>
      <c r="F14" s="112"/>
      <c r="G14" s="110"/>
    </row>
    <row r="15" spans="1:8" s="116" customFormat="1" x14ac:dyDescent="0.25">
      <c r="A15" s="646"/>
      <c r="B15" s="647"/>
      <c r="C15" s="646" t="s">
        <v>423</v>
      </c>
      <c r="D15" s="128">
        <v>3</v>
      </c>
      <c r="E15" s="118"/>
      <c r="F15" s="119"/>
      <c r="G15" s="120"/>
    </row>
    <row r="16" spans="1:8" x14ac:dyDescent="0.25">
      <c r="A16" s="646"/>
      <c r="B16" s="647"/>
      <c r="C16" s="646"/>
      <c r="D16" s="127">
        <v>5</v>
      </c>
      <c r="E16" s="108"/>
      <c r="F16" s="111"/>
      <c r="G16" s="110"/>
    </row>
    <row r="17" spans="1:8" x14ac:dyDescent="0.25">
      <c r="A17" s="103" t="s">
        <v>424</v>
      </c>
      <c r="B17" s="96" t="s">
        <v>418</v>
      </c>
      <c r="C17" s="96" t="s">
        <v>418</v>
      </c>
      <c r="D17" s="96" t="s">
        <v>418</v>
      </c>
      <c r="E17" s="97">
        <f>SUM(E13:E16)</f>
        <v>0</v>
      </c>
      <c r="F17" s="97">
        <f>SUM(F13:F16)</f>
        <v>0</v>
      </c>
      <c r="G17" s="110"/>
    </row>
    <row r="18" spans="1:8" ht="33" customHeight="1" x14ac:dyDescent="0.25">
      <c r="A18" s="646" t="s">
        <v>108</v>
      </c>
      <c r="B18" s="647" t="s">
        <v>419</v>
      </c>
      <c r="C18" s="647" t="s">
        <v>425</v>
      </c>
      <c r="D18" s="127">
        <v>3</v>
      </c>
      <c r="E18" s="109"/>
      <c r="F18" s="114"/>
      <c r="G18" s="121"/>
      <c r="H18" s="106"/>
    </row>
    <row r="19" spans="1:8" ht="24.75" customHeight="1" x14ac:dyDescent="0.25">
      <c r="A19" s="646"/>
      <c r="B19" s="647"/>
      <c r="C19" s="647"/>
      <c r="D19" s="127">
        <v>4</v>
      </c>
      <c r="E19" s="109"/>
      <c r="F19" s="109"/>
      <c r="G19" s="110"/>
    </row>
    <row r="20" spans="1:8" x14ac:dyDescent="0.25">
      <c r="A20" s="103" t="s">
        <v>426</v>
      </c>
      <c r="B20" s="96" t="s">
        <v>418</v>
      </c>
      <c r="C20" s="96" t="s">
        <v>418</v>
      </c>
      <c r="D20" s="96" t="s">
        <v>418</v>
      </c>
      <c r="E20" s="97">
        <f>SUM(E18:E19)</f>
        <v>0</v>
      </c>
      <c r="F20" s="97">
        <f>SUM(F18:F19)</f>
        <v>0</v>
      </c>
      <c r="G20" s="110"/>
    </row>
    <row r="21" spans="1:8" x14ac:dyDescent="0.25">
      <c r="A21" s="126" t="s">
        <v>124</v>
      </c>
      <c r="B21" s="127" t="s">
        <v>427</v>
      </c>
      <c r="C21" s="127" t="s">
        <v>428</v>
      </c>
      <c r="D21" s="127">
        <v>3</v>
      </c>
      <c r="E21" s="95"/>
      <c r="F21" s="115"/>
      <c r="G21" s="110"/>
    </row>
    <row r="22" spans="1:8" x14ac:dyDescent="0.25">
      <c r="A22" s="103" t="s">
        <v>429</v>
      </c>
      <c r="B22" s="96" t="s">
        <v>418</v>
      </c>
      <c r="C22" s="96" t="s">
        <v>418</v>
      </c>
      <c r="D22" s="96" t="s">
        <v>418</v>
      </c>
      <c r="E22" s="97">
        <f>E21</f>
        <v>0</v>
      </c>
      <c r="F22" s="97">
        <f>F21</f>
        <v>0</v>
      </c>
      <c r="G22" s="110"/>
    </row>
    <row r="23" spans="1:8" x14ac:dyDescent="0.25">
      <c r="A23" s="102"/>
      <c r="B23" s="89"/>
      <c r="C23" s="89"/>
      <c r="D23" s="89"/>
      <c r="E23" s="89"/>
      <c r="F23" s="89"/>
    </row>
    <row r="24" spans="1:8" x14ac:dyDescent="0.25">
      <c r="A24" s="104" t="s">
        <v>50</v>
      </c>
      <c r="B24" s="98" t="s">
        <v>418</v>
      </c>
      <c r="C24" s="98" t="s">
        <v>418</v>
      </c>
      <c r="D24" s="98" t="s">
        <v>418</v>
      </c>
      <c r="E24" s="99">
        <f>E10+E12+E17+E20+E22</f>
        <v>0</v>
      </c>
      <c r="F24" s="99">
        <f>F10+F12+F17+F20+F22</f>
        <v>0</v>
      </c>
    </row>
    <row r="25" spans="1:8" x14ac:dyDescent="0.25">
      <c r="A25" s="102"/>
      <c r="B25" s="89"/>
      <c r="C25" s="89"/>
      <c r="D25" s="89"/>
      <c r="E25" s="89"/>
      <c r="F25" s="89"/>
      <c r="H25" s="106"/>
    </row>
    <row r="26" spans="1:8" x14ac:dyDescent="0.25">
      <c r="A26" s="102"/>
      <c r="B26" s="89"/>
      <c r="C26" s="89"/>
      <c r="D26" s="89"/>
      <c r="E26" s="89"/>
      <c r="F26" s="89"/>
    </row>
    <row r="27" spans="1:8" x14ac:dyDescent="0.25">
      <c r="A27" s="648" t="s">
        <v>430</v>
      </c>
      <c r="B27" s="648" t="s">
        <v>419</v>
      </c>
      <c r="C27" s="648" t="s">
        <v>413</v>
      </c>
      <c r="D27" s="93">
        <v>3</v>
      </c>
      <c r="E27" s="129"/>
      <c r="F27" s="129"/>
    </row>
    <row r="28" spans="1:8" x14ac:dyDescent="0.25">
      <c r="A28" s="648"/>
      <c r="B28" s="648"/>
      <c r="C28" s="648"/>
      <c r="D28" s="94">
        <v>4</v>
      </c>
      <c r="E28" s="127"/>
      <c r="F28" s="129"/>
    </row>
    <row r="29" spans="1:8" x14ac:dyDescent="0.25">
      <c r="A29" s="103" t="s">
        <v>431</v>
      </c>
      <c r="B29" s="96" t="s">
        <v>418</v>
      </c>
      <c r="C29" s="96" t="s">
        <v>418</v>
      </c>
      <c r="D29" s="96" t="s">
        <v>418</v>
      </c>
      <c r="E29" s="97">
        <f>SUM(E27:E28)</f>
        <v>0</v>
      </c>
      <c r="F29" s="97">
        <f>SUM(F27:F28)</f>
        <v>0</v>
      </c>
    </row>
  </sheetData>
  <mergeCells count="12">
    <mergeCell ref="A18:A19"/>
    <mergeCell ref="B18:B19"/>
    <mergeCell ref="C18:C19"/>
    <mergeCell ref="A27:A28"/>
    <mergeCell ref="B27:B28"/>
    <mergeCell ref="C27:C28"/>
    <mergeCell ref="A6:A9"/>
    <mergeCell ref="B6:B8"/>
    <mergeCell ref="A13:A16"/>
    <mergeCell ref="B13:B16"/>
    <mergeCell ref="C13:C14"/>
    <mergeCell ref="C15:C1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0610-F023-4EB7-922E-C7FA8C0B9DBE}">
  <dimension ref="A1:AB10"/>
  <sheetViews>
    <sheetView workbookViewId="0">
      <pane xSplit="2" ySplit="3" topLeftCell="C8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9.140625" style="48" bestFit="1" customWidth="1"/>
    <col min="2" max="2" width="17.42578125" style="48" customWidth="1"/>
    <col min="3" max="3" width="9.140625" style="48" bestFit="1" customWidth="1"/>
    <col min="4" max="4" width="17" style="48" customWidth="1"/>
    <col min="5" max="5" width="13.7109375" style="48" customWidth="1"/>
    <col min="6" max="6" width="13.28515625" style="48" customWidth="1"/>
    <col min="7" max="7" width="20.140625" style="48" customWidth="1"/>
    <col min="8" max="8" width="18.5703125" style="48" customWidth="1"/>
    <col min="9" max="9" width="25" style="45" customWidth="1"/>
    <col min="10" max="10" width="18.5703125" style="49" customWidth="1"/>
    <col min="11" max="11" width="15.7109375" style="48" customWidth="1"/>
    <col min="12" max="12" width="21.42578125" style="48" customWidth="1"/>
    <col min="13" max="13" width="18.140625" style="48" customWidth="1"/>
    <col min="14" max="14" width="19.42578125" style="45" hidden="1" customWidth="1"/>
    <col min="15" max="15" width="20" style="68" customWidth="1"/>
    <col min="16" max="16" width="22.28515625" style="68" customWidth="1"/>
    <col min="17" max="17" width="14.28515625" style="68" customWidth="1"/>
    <col min="18" max="18" width="21.85546875" style="48" customWidth="1"/>
    <col min="19" max="19" width="15" style="49" customWidth="1"/>
    <col min="20" max="20" width="15.42578125" style="48" customWidth="1"/>
    <col min="21" max="21" width="16.5703125" style="48" customWidth="1"/>
    <col min="22" max="22" width="13.7109375" style="48" customWidth="1"/>
    <col min="23" max="23" width="15.28515625" style="48" customWidth="1"/>
    <col min="24" max="24" width="14.5703125" style="48" customWidth="1"/>
    <col min="25" max="25" width="15" style="48" customWidth="1"/>
    <col min="26" max="26" width="25.42578125" style="48" customWidth="1"/>
    <col min="27" max="27" width="28.28515625" style="48" customWidth="1"/>
    <col min="28" max="28" width="9.140625" style="48" bestFit="1" customWidth="1"/>
    <col min="29" max="16384" width="9.140625" style="48"/>
  </cols>
  <sheetData>
    <row r="1" spans="1:28" ht="26.25" customHeight="1" x14ac:dyDescent="0.25">
      <c r="A1" s="652" t="s">
        <v>432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  <c r="Y1" s="652"/>
      <c r="Z1" s="652"/>
      <c r="AA1" s="652"/>
      <c r="AB1" s="652"/>
    </row>
    <row r="2" spans="1:28" ht="15.75" customHeight="1" x14ac:dyDescent="0.25">
      <c r="A2" s="649" t="s">
        <v>433</v>
      </c>
      <c r="B2" s="649" t="s">
        <v>434</v>
      </c>
      <c r="C2" s="649" t="s">
        <v>435</v>
      </c>
      <c r="D2" s="650" t="s">
        <v>436</v>
      </c>
      <c r="E2" s="649" t="s">
        <v>437</v>
      </c>
      <c r="F2" s="649" t="s">
        <v>408</v>
      </c>
      <c r="G2" s="649" t="s">
        <v>438</v>
      </c>
      <c r="H2" s="649" t="s">
        <v>439</v>
      </c>
      <c r="I2" s="649" t="s">
        <v>440</v>
      </c>
      <c r="J2" s="649" t="s">
        <v>441</v>
      </c>
      <c r="K2" s="649" t="s">
        <v>442</v>
      </c>
      <c r="L2" s="649" t="s">
        <v>443</v>
      </c>
      <c r="M2" s="649" t="s">
        <v>444</v>
      </c>
      <c r="N2" s="649" t="s">
        <v>445</v>
      </c>
      <c r="O2" s="649" t="s">
        <v>446</v>
      </c>
      <c r="P2" s="654" t="s">
        <v>447</v>
      </c>
      <c r="Q2" s="652" t="s">
        <v>71</v>
      </c>
      <c r="R2" s="652"/>
      <c r="S2" s="649" t="s">
        <v>448</v>
      </c>
      <c r="T2" s="649" t="s">
        <v>449</v>
      </c>
      <c r="U2" s="649" t="s">
        <v>450</v>
      </c>
      <c r="V2" s="649" t="s">
        <v>451</v>
      </c>
      <c r="W2" s="649" t="s">
        <v>452</v>
      </c>
      <c r="X2" s="649" t="s">
        <v>453</v>
      </c>
      <c r="Y2" s="649" t="s">
        <v>454</v>
      </c>
      <c r="Z2" s="649" t="s">
        <v>455</v>
      </c>
      <c r="AA2" s="649" t="s">
        <v>456</v>
      </c>
      <c r="AB2" s="649" t="s">
        <v>457</v>
      </c>
    </row>
    <row r="3" spans="1:28" ht="48.75" customHeight="1" x14ac:dyDescent="0.25">
      <c r="A3" s="649"/>
      <c r="B3" s="650"/>
      <c r="C3" s="650"/>
      <c r="D3" s="651"/>
      <c r="E3" s="650"/>
      <c r="F3" s="650"/>
      <c r="G3" s="650"/>
      <c r="H3" s="650"/>
      <c r="I3" s="650"/>
      <c r="J3" s="650"/>
      <c r="K3" s="650"/>
      <c r="L3" s="650"/>
      <c r="M3" s="650"/>
      <c r="N3" s="650"/>
      <c r="O3" s="650"/>
      <c r="P3" s="655"/>
      <c r="Q3" s="130" t="s">
        <v>458</v>
      </c>
      <c r="R3" s="130" t="s">
        <v>459</v>
      </c>
      <c r="S3" s="650"/>
      <c r="T3" s="650"/>
      <c r="U3" s="650"/>
      <c r="V3" s="650"/>
      <c r="W3" s="650"/>
      <c r="X3" s="650"/>
      <c r="Y3" s="650"/>
      <c r="Z3" s="650"/>
      <c r="AA3" s="650"/>
      <c r="AB3" s="650"/>
    </row>
    <row r="4" spans="1:28" s="44" customFormat="1" x14ac:dyDescent="0.25">
      <c r="A4" s="131">
        <v>1</v>
      </c>
      <c r="B4" s="135"/>
      <c r="C4" s="136"/>
      <c r="D4" s="136"/>
      <c r="E4" s="135"/>
      <c r="F4" s="135"/>
      <c r="G4" s="254"/>
      <c r="H4" s="135"/>
      <c r="I4" s="135"/>
      <c r="J4" s="137"/>
      <c r="K4" s="138"/>
      <c r="L4" s="136"/>
      <c r="M4" s="135"/>
      <c r="N4" s="135"/>
      <c r="O4" s="255"/>
      <c r="P4" s="135"/>
      <c r="Q4" s="139"/>
      <c r="R4" s="140"/>
      <c r="S4" s="139"/>
      <c r="T4" s="256"/>
      <c r="U4" s="141"/>
      <c r="V4" s="141"/>
      <c r="W4" s="141"/>
      <c r="X4" s="141"/>
      <c r="Y4" s="142"/>
      <c r="Z4" s="141"/>
      <c r="AA4" s="141"/>
      <c r="AB4" s="143"/>
    </row>
    <row r="5" spans="1:28" s="44" customFormat="1" x14ac:dyDescent="0.25">
      <c r="A5" s="131">
        <v>2</v>
      </c>
      <c r="B5" s="144"/>
      <c r="C5" s="145"/>
      <c r="D5" s="145"/>
      <c r="E5" s="144"/>
      <c r="F5" s="144"/>
      <c r="G5" s="257"/>
      <c r="H5" s="144"/>
      <c r="I5" s="141"/>
      <c r="J5" s="146"/>
      <c r="K5" s="141"/>
      <c r="L5" s="136"/>
      <c r="M5" s="144"/>
      <c r="N5" s="144"/>
      <c r="O5" s="258"/>
      <c r="P5" s="144"/>
      <c r="Q5" s="147"/>
      <c r="R5" s="148"/>
      <c r="S5" s="147"/>
      <c r="T5" s="259"/>
      <c r="U5" s="136"/>
      <c r="V5" s="149"/>
      <c r="W5" s="149"/>
      <c r="X5" s="149"/>
      <c r="Y5" s="149"/>
      <c r="Z5" s="149"/>
      <c r="AA5" s="149"/>
      <c r="AB5" s="150"/>
    </row>
    <row r="6" spans="1:28" s="44" customFormat="1" x14ac:dyDescent="0.25">
      <c r="A6" s="131">
        <v>3</v>
      </c>
      <c r="B6" s="144"/>
      <c r="C6" s="145"/>
      <c r="D6" s="145"/>
      <c r="E6" s="144"/>
      <c r="F6" s="144"/>
      <c r="G6" s="257"/>
      <c r="H6" s="144"/>
      <c r="I6" s="144"/>
      <c r="J6" s="151"/>
      <c r="K6" s="145"/>
      <c r="L6" s="145"/>
      <c r="M6" s="144"/>
      <c r="N6" s="144"/>
      <c r="O6" s="152"/>
      <c r="P6" s="144"/>
      <c r="Q6" s="147"/>
      <c r="R6" s="148"/>
      <c r="S6" s="147"/>
      <c r="T6" s="259"/>
      <c r="U6" s="136"/>
      <c r="V6" s="149"/>
      <c r="W6" s="149"/>
      <c r="X6" s="149"/>
      <c r="Y6" s="149"/>
      <c r="Z6" s="149"/>
      <c r="AA6" s="149"/>
      <c r="AB6" s="150"/>
    </row>
    <row r="7" spans="1:28" s="44" customFormat="1" x14ac:dyDescent="0.2">
      <c r="A7" s="131">
        <v>4</v>
      </c>
      <c r="B7" s="144"/>
      <c r="C7" s="145"/>
      <c r="D7" s="145"/>
      <c r="E7" s="144"/>
      <c r="F7" s="144"/>
      <c r="G7" s="145"/>
      <c r="H7" s="144"/>
      <c r="I7" s="144"/>
      <c r="J7" s="145"/>
      <c r="K7" s="145"/>
      <c r="L7" s="145"/>
      <c r="M7" s="144"/>
      <c r="N7" s="144"/>
      <c r="O7" s="260"/>
      <c r="P7" s="144"/>
      <c r="Q7" s="147"/>
      <c r="R7" s="148"/>
      <c r="S7" s="147"/>
      <c r="T7" s="259"/>
      <c r="U7" s="145"/>
      <c r="V7" s="145"/>
      <c r="W7" s="145"/>
      <c r="X7" s="153"/>
      <c r="Y7" s="153"/>
      <c r="Z7" s="153"/>
      <c r="AA7" s="153"/>
      <c r="AB7" s="154"/>
    </row>
    <row r="8" spans="1:28" s="44" customFormat="1" x14ac:dyDescent="0.25">
      <c r="A8" s="131">
        <v>5</v>
      </c>
      <c r="B8" s="135"/>
      <c r="C8" s="261"/>
      <c r="D8" s="261"/>
      <c r="E8" s="135"/>
      <c r="F8" s="135"/>
      <c r="G8" s="254"/>
      <c r="H8" s="135"/>
      <c r="I8" s="135"/>
      <c r="J8" s="146"/>
      <c r="K8" s="138"/>
      <c r="L8" s="136"/>
      <c r="M8" s="135"/>
      <c r="N8" s="135"/>
      <c r="O8" s="155"/>
      <c r="P8" s="135"/>
      <c r="Q8" s="139"/>
      <c r="R8" s="140"/>
      <c r="S8" s="139"/>
      <c r="T8" s="256"/>
      <c r="U8" s="136"/>
      <c r="V8" s="149"/>
      <c r="W8" s="149"/>
      <c r="X8" s="149"/>
      <c r="Y8" s="149"/>
      <c r="Z8" s="149"/>
      <c r="AA8" s="149"/>
      <c r="AB8" s="150"/>
    </row>
    <row r="9" spans="1:28" s="44" customFormat="1" x14ac:dyDescent="0.25">
      <c r="A9" s="131">
        <v>6</v>
      </c>
      <c r="B9" s="135"/>
      <c r="C9" s="261"/>
      <c r="D9" s="261"/>
      <c r="E9" s="135"/>
      <c r="F9" s="135"/>
      <c r="G9" s="254"/>
      <c r="H9" s="135"/>
      <c r="I9" s="135"/>
      <c r="J9" s="146"/>
      <c r="K9" s="138"/>
      <c r="L9" s="136"/>
      <c r="M9" s="135"/>
      <c r="N9" s="135"/>
      <c r="O9" s="155"/>
      <c r="P9" s="135"/>
      <c r="Q9" s="139"/>
      <c r="R9" s="140"/>
      <c r="S9" s="139"/>
      <c r="T9" s="256"/>
      <c r="U9" s="136"/>
      <c r="V9" s="149"/>
      <c r="W9" s="149"/>
      <c r="X9" s="149"/>
      <c r="Y9" s="149"/>
      <c r="Z9" s="149"/>
      <c r="AA9" s="149"/>
      <c r="AB9" s="150"/>
    </row>
    <row r="10" spans="1:28" x14ac:dyDescent="0.25">
      <c r="A10" s="652" t="s">
        <v>50</v>
      </c>
      <c r="B10" s="653"/>
      <c r="C10" s="653"/>
      <c r="D10" s="653"/>
      <c r="E10" s="653"/>
      <c r="F10" s="653"/>
      <c r="G10" s="653"/>
      <c r="H10" s="653"/>
      <c r="I10" s="653"/>
      <c r="J10" s="653"/>
      <c r="K10" s="653"/>
      <c r="L10" s="653"/>
      <c r="M10" s="653"/>
      <c r="N10" s="653"/>
      <c r="O10" s="653"/>
      <c r="P10" s="653"/>
      <c r="Q10" s="133">
        <f>SUM(Q4:Q9)</f>
        <v>0</v>
      </c>
      <c r="R10" s="133">
        <f>SUM(R6:R9)</f>
        <v>0</v>
      </c>
      <c r="S10" s="133">
        <f>SUM(S4:S9)</f>
        <v>0</v>
      </c>
      <c r="T10" s="132"/>
      <c r="U10" s="132"/>
      <c r="V10" s="132"/>
      <c r="W10" s="132"/>
      <c r="X10" s="132"/>
      <c r="Y10" s="132"/>
      <c r="Z10" s="132"/>
      <c r="AA10" s="134"/>
      <c r="AB10" s="134"/>
    </row>
  </sheetData>
  <mergeCells count="29">
    <mergeCell ref="A10:P10"/>
    <mergeCell ref="A1:AB1"/>
    <mergeCell ref="P2:P3"/>
    <mergeCell ref="Q2:R2"/>
    <mergeCell ref="AB2:AB3"/>
    <mergeCell ref="AA2:AA3"/>
    <mergeCell ref="V2:V3"/>
    <mergeCell ref="W2:W3"/>
    <mergeCell ref="X2:X3"/>
    <mergeCell ref="Y2:Y3"/>
    <mergeCell ref="Z2:Z3"/>
    <mergeCell ref="S2:S3"/>
    <mergeCell ref="T2:T3"/>
    <mergeCell ref="U2:U3"/>
    <mergeCell ref="A2:A3"/>
    <mergeCell ref="B2:B3"/>
    <mergeCell ref="C2:C3"/>
    <mergeCell ref="E2:E3"/>
    <mergeCell ref="F2:F3"/>
    <mergeCell ref="G2:G3"/>
    <mergeCell ref="H2:H3"/>
    <mergeCell ref="D2:D3"/>
    <mergeCell ref="N2:N3"/>
    <mergeCell ref="O2:O3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F6BC-4734-4761-8497-068FD1B63728}">
  <sheetPr>
    <tabColor rgb="FFFFFF00"/>
  </sheetPr>
  <dimension ref="A1:AF86"/>
  <sheetViews>
    <sheetView workbookViewId="0">
      <pane ySplit="3" topLeftCell="A22" activePane="bottomLeft" state="frozen"/>
      <selection pane="bottomLeft" activeCell="E22" sqref="E22"/>
    </sheetView>
  </sheetViews>
  <sheetFormatPr defaultColWidth="9.140625" defaultRowHeight="15" x14ac:dyDescent="0.25"/>
  <cols>
    <col min="1" max="1" width="50.28515625" style="47" customWidth="1"/>
    <col min="2" max="2" width="9.42578125" style="46" customWidth="1"/>
    <col min="3" max="3" width="22.5703125" style="47" customWidth="1"/>
    <col min="4" max="6" width="20.85546875" style="47" customWidth="1"/>
    <col min="7" max="7" width="13.7109375" style="47" customWidth="1"/>
    <col min="8" max="8" width="2.28515625" style="47" customWidth="1"/>
    <col min="9" max="24" width="9.140625" style="47"/>
    <col min="25" max="25" width="32.85546875" style="47" customWidth="1"/>
    <col min="26" max="28" width="1.5703125" style="79" customWidth="1"/>
    <col min="29" max="16384" width="9.140625" style="47"/>
  </cols>
  <sheetData>
    <row r="1" spans="1:32" x14ac:dyDescent="0.25">
      <c r="A1" s="262"/>
      <c r="B1" s="263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72"/>
      <c r="AA1" s="72"/>
      <c r="AB1" s="72"/>
      <c r="AC1" s="262"/>
      <c r="AD1" s="262"/>
      <c r="AE1" s="262"/>
      <c r="AF1" s="262"/>
    </row>
    <row r="2" spans="1:32" x14ac:dyDescent="0.25">
      <c r="A2" s="264"/>
      <c r="B2" s="265"/>
      <c r="C2" s="266"/>
      <c r="D2" s="266"/>
      <c r="E2" s="684" t="s">
        <v>460</v>
      </c>
      <c r="F2" s="684"/>
      <c r="G2" s="684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72"/>
      <c r="AA2" s="72"/>
      <c r="AB2" s="72"/>
      <c r="AC2" s="262"/>
      <c r="AD2" s="262"/>
      <c r="AE2" s="262"/>
      <c r="AF2" s="262"/>
    </row>
    <row r="3" spans="1:32" s="48" customFormat="1" ht="41.25" customHeight="1" x14ac:dyDescent="0.25">
      <c r="A3" s="267"/>
      <c r="B3" s="268" t="s">
        <v>461</v>
      </c>
      <c r="C3" s="269" t="s">
        <v>462</v>
      </c>
      <c r="D3" s="269" t="s">
        <v>463</v>
      </c>
      <c r="E3" s="269" t="s">
        <v>464</v>
      </c>
      <c r="F3" s="269" t="s">
        <v>465</v>
      </c>
      <c r="G3" s="269" t="s">
        <v>466</v>
      </c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73"/>
      <c r="AA3" s="73"/>
      <c r="AB3" s="73"/>
      <c r="AC3" s="270"/>
      <c r="AD3" s="270"/>
      <c r="AE3" s="270"/>
      <c r="AF3" s="270"/>
    </row>
    <row r="4" spans="1:32" s="46" customFormat="1" ht="5.25" customHeight="1" x14ac:dyDescent="0.25">
      <c r="A4" s="271"/>
      <c r="B4" s="272"/>
      <c r="C4" s="273"/>
      <c r="D4" s="274"/>
      <c r="E4" s="275"/>
      <c r="F4" s="276"/>
      <c r="G4" s="276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74"/>
      <c r="AA4" s="74"/>
      <c r="AB4" s="74"/>
      <c r="AC4" s="263"/>
      <c r="AD4" s="263"/>
      <c r="AE4" s="263"/>
      <c r="AF4" s="263"/>
    </row>
    <row r="5" spans="1:32" s="48" customFormat="1" ht="20.25" customHeight="1" x14ac:dyDescent="0.25">
      <c r="A5" s="662" t="s">
        <v>93</v>
      </c>
      <c r="B5" s="663"/>
      <c r="C5" s="664"/>
      <c r="D5" s="277">
        <f>SUBTOTAL(109,D6:D74)</f>
        <v>8342952.1500000004</v>
      </c>
      <c r="E5" s="278">
        <f t="shared" ref="E5:F5" si="0">SUBTOTAL(109,E6:E74)</f>
        <v>4912144.6400000015</v>
      </c>
      <c r="F5" s="278">
        <f t="shared" si="0"/>
        <v>3430807.5100000002</v>
      </c>
      <c r="G5" s="279">
        <f>E5/D5</f>
        <v>0.58877775536564736</v>
      </c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73"/>
      <c r="AA5" s="73"/>
      <c r="AB5" s="73"/>
      <c r="AC5" s="270"/>
      <c r="AD5" s="270"/>
      <c r="AE5" s="270"/>
      <c r="AF5" s="270"/>
    </row>
    <row r="6" spans="1:32" s="48" customFormat="1" ht="5.25" customHeight="1" x14ac:dyDescent="0.25">
      <c r="A6" s="280"/>
      <c r="B6" s="281"/>
      <c r="C6" s="55"/>
      <c r="D6" s="281"/>
      <c r="E6" s="282"/>
      <c r="F6" s="282"/>
      <c r="G6" s="283"/>
      <c r="H6" s="270"/>
      <c r="I6" s="270"/>
      <c r="J6" s="270"/>
      <c r="K6" s="270"/>
      <c r="L6" s="270"/>
      <c r="M6" s="270"/>
      <c r="N6" s="270"/>
      <c r="O6" s="270"/>
      <c r="P6" s="270"/>
      <c r="Q6" s="270"/>
      <c r="R6" s="270"/>
      <c r="S6" s="270"/>
      <c r="T6" s="270"/>
      <c r="U6" s="270"/>
      <c r="V6" s="270"/>
      <c r="W6" s="270"/>
      <c r="X6" s="270"/>
      <c r="Y6" s="270"/>
      <c r="Z6" s="73"/>
      <c r="AA6" s="73"/>
      <c r="AB6" s="73"/>
      <c r="AC6" s="270"/>
      <c r="AD6" s="270"/>
      <c r="AE6" s="270"/>
      <c r="AF6" s="270"/>
    </row>
    <row r="7" spans="1:32" s="49" customFormat="1" ht="20.25" customHeight="1" x14ac:dyDescent="0.25">
      <c r="A7" s="665" t="s">
        <v>12</v>
      </c>
      <c r="B7" s="666"/>
      <c r="C7" s="667"/>
      <c r="D7" s="284">
        <f>SUBTOTAL(109,D8:D23)</f>
        <v>2420800</v>
      </c>
      <c r="E7" s="285">
        <f t="shared" ref="E7:F7" si="1">SUBTOTAL(109,E8:E23)</f>
        <v>1506109.2100000002</v>
      </c>
      <c r="F7" s="285">
        <f t="shared" si="1"/>
        <v>914690.79000000015</v>
      </c>
      <c r="G7" s="286">
        <f t="shared" ref="G7:G39" si="2">E7/D7</f>
        <v>0.62215350710508932</v>
      </c>
      <c r="H7" s="71"/>
      <c r="I7" s="71"/>
      <c r="J7" s="71"/>
      <c r="K7" s="71"/>
      <c r="L7" s="71"/>
      <c r="M7" s="71"/>
      <c r="N7" s="71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683" t="s">
        <v>467</v>
      </c>
      <c r="AA7" s="683"/>
      <c r="AB7" s="683"/>
      <c r="AC7" s="287"/>
      <c r="AD7" s="287"/>
      <c r="AE7" s="287"/>
      <c r="AF7" s="287"/>
    </row>
    <row r="8" spans="1:32" s="49" customFormat="1" ht="20.25" customHeight="1" x14ac:dyDescent="0.25">
      <c r="A8" s="656" t="s">
        <v>468</v>
      </c>
      <c r="B8" s="657"/>
      <c r="C8" s="658"/>
      <c r="D8" s="228">
        <f>SUBTOTAL(109,D9)</f>
        <v>337000</v>
      </c>
      <c r="E8" s="229">
        <f>SUBTOTAL(109,E9)</f>
        <v>165807.82</v>
      </c>
      <c r="F8" s="229">
        <f t="shared" ref="F8" si="3">SUBTOTAL(109,F9)</f>
        <v>171192.18</v>
      </c>
      <c r="G8" s="230">
        <f t="shared" si="2"/>
        <v>0.49201133531157271</v>
      </c>
      <c r="H8" s="71"/>
      <c r="I8" s="71"/>
      <c r="J8" s="71"/>
      <c r="K8" s="71"/>
      <c r="L8" s="71"/>
      <c r="M8" s="71"/>
      <c r="N8" s="71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75" t="s">
        <v>469</v>
      </c>
      <c r="AA8" s="76">
        <f>E7</f>
        <v>1506109.2100000002</v>
      </c>
      <c r="AB8" s="77">
        <f>AA8/AA9</f>
        <v>1.1326870075232264E-2</v>
      </c>
      <c r="AC8" s="287"/>
      <c r="AD8" s="287"/>
      <c r="AE8" s="287"/>
      <c r="AF8" s="287"/>
    </row>
    <row r="9" spans="1:32" s="49" customFormat="1" ht="20.25" customHeight="1" x14ac:dyDescent="0.25">
      <c r="A9" s="50" t="s">
        <v>470</v>
      </c>
      <c r="B9" s="288">
        <v>2000</v>
      </c>
      <c r="C9" s="289" t="s">
        <v>471</v>
      </c>
      <c r="D9" s="290">
        <v>337000</v>
      </c>
      <c r="E9" s="234">
        <f>D9-F9</f>
        <v>165807.82</v>
      </c>
      <c r="F9" s="234">
        <v>171192.18</v>
      </c>
      <c r="G9" s="237">
        <f t="shared" si="2"/>
        <v>0.49201133531157271</v>
      </c>
      <c r="H9" s="71"/>
      <c r="I9" s="71"/>
      <c r="J9" s="71"/>
      <c r="K9" s="71"/>
      <c r="L9" s="71"/>
      <c r="M9" s="71"/>
      <c r="N9" s="71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75" t="s">
        <v>472</v>
      </c>
      <c r="AA9" s="76">
        <v>132967819</v>
      </c>
      <c r="AB9" s="77">
        <f>100%-AB8</f>
        <v>0.98867312992476775</v>
      </c>
      <c r="AC9" s="287"/>
      <c r="AD9" s="287"/>
      <c r="AE9" s="287"/>
      <c r="AF9" s="287"/>
    </row>
    <row r="10" spans="1:32" s="49" customFormat="1" ht="20.25" customHeight="1" x14ac:dyDescent="0.25">
      <c r="A10" s="656" t="s">
        <v>473</v>
      </c>
      <c r="B10" s="668"/>
      <c r="C10" s="658"/>
      <c r="D10" s="291">
        <f>SUBTOTAL(109,D11)</f>
        <v>363800</v>
      </c>
      <c r="E10" s="292">
        <f>SUBTOTAL(109,E11)</f>
        <v>186391.54</v>
      </c>
      <c r="F10" s="292">
        <f t="shared" ref="F10" si="4">SUBTOTAL(109,F11)</f>
        <v>177408.46</v>
      </c>
      <c r="G10" s="293">
        <f t="shared" si="2"/>
        <v>0.51234617921935133</v>
      </c>
      <c r="H10" s="71"/>
      <c r="I10" s="71"/>
      <c r="J10" s="71"/>
      <c r="K10" s="71"/>
      <c r="L10" s="71"/>
      <c r="M10" s="71"/>
      <c r="N10" s="71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75"/>
      <c r="AA10" s="75"/>
      <c r="AB10" s="75"/>
      <c r="AC10" s="287"/>
      <c r="AD10" s="287"/>
      <c r="AE10" s="287"/>
      <c r="AF10" s="287"/>
    </row>
    <row r="11" spans="1:32" s="49" customFormat="1" ht="20.25" customHeight="1" x14ac:dyDescent="0.25">
      <c r="A11" s="53" t="s">
        <v>474</v>
      </c>
      <c r="B11" s="294">
        <v>2000</v>
      </c>
      <c r="C11" s="295" t="s">
        <v>475</v>
      </c>
      <c r="D11" s="290">
        <v>363800</v>
      </c>
      <c r="E11" s="234">
        <f>D11-F11</f>
        <v>186391.54</v>
      </c>
      <c r="F11" s="234">
        <v>177408.46</v>
      </c>
      <c r="G11" s="237">
        <f t="shared" si="2"/>
        <v>0.51234617921935133</v>
      </c>
      <c r="H11" s="71"/>
      <c r="I11" s="71"/>
      <c r="J11" s="71"/>
      <c r="K11" s="71"/>
      <c r="L11" s="71"/>
      <c r="M11" s="71"/>
      <c r="N11" s="71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683" t="s">
        <v>467</v>
      </c>
      <c r="AA11" s="683"/>
      <c r="AB11" s="683"/>
      <c r="AC11" s="287"/>
      <c r="AD11" s="287"/>
      <c r="AE11" s="287"/>
      <c r="AF11" s="287"/>
    </row>
    <row r="12" spans="1:32" s="49" customFormat="1" ht="20.25" customHeight="1" x14ac:dyDescent="0.25">
      <c r="A12" s="656" t="s">
        <v>476</v>
      </c>
      <c r="B12" s="658"/>
      <c r="C12" s="658"/>
      <c r="D12" s="291">
        <f>SUBTOTAL(109,D13:D14)</f>
        <v>890000</v>
      </c>
      <c r="E12" s="292">
        <f>SUBTOTAL(109,E13:E14)</f>
        <v>519062.57</v>
      </c>
      <c r="F12" s="292">
        <f t="shared" ref="F12" si="5">SUBTOTAL(109,F13:F14)</f>
        <v>370937.43</v>
      </c>
      <c r="G12" s="293">
        <f t="shared" si="2"/>
        <v>0.58321637078651689</v>
      </c>
      <c r="H12" s="71"/>
      <c r="I12" s="71"/>
      <c r="J12" s="71"/>
      <c r="K12" s="71"/>
      <c r="L12" s="71"/>
      <c r="M12" s="71"/>
      <c r="N12" s="71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75" t="s">
        <v>469</v>
      </c>
      <c r="AA12" s="76">
        <f>E7</f>
        <v>1506109.2100000002</v>
      </c>
      <c r="AB12" s="77">
        <f>AA12/AA13</f>
        <v>0.62215350710508932</v>
      </c>
      <c r="AC12" s="287"/>
      <c r="AD12" s="287"/>
      <c r="AE12" s="287"/>
      <c r="AF12" s="287"/>
    </row>
    <row r="13" spans="1:32" s="49" customFormat="1" ht="20.25" customHeight="1" x14ac:dyDescent="0.25">
      <c r="A13" s="670" t="s">
        <v>477</v>
      </c>
      <c r="B13" s="288">
        <v>2000</v>
      </c>
      <c r="C13" s="289" t="s">
        <v>478</v>
      </c>
      <c r="D13" s="290">
        <v>270000</v>
      </c>
      <c r="E13" s="234">
        <f t="shared" ref="E13:E14" si="6">D13-F13</f>
        <v>171419.71000000002</v>
      </c>
      <c r="F13" s="234">
        <v>98580.29</v>
      </c>
      <c r="G13" s="237">
        <f t="shared" si="2"/>
        <v>0.63488781481481493</v>
      </c>
      <c r="H13" s="71"/>
      <c r="I13" s="71"/>
      <c r="J13" s="71"/>
      <c r="K13" s="71"/>
      <c r="L13" s="71"/>
      <c r="M13" s="71"/>
      <c r="N13" s="71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75" t="s">
        <v>453</v>
      </c>
      <c r="AA13" s="76">
        <f>D7</f>
        <v>2420800</v>
      </c>
      <c r="AB13" s="77">
        <f>100%-AB12</f>
        <v>0.37784649289491068</v>
      </c>
      <c r="AC13" s="287"/>
      <c r="AD13" s="287"/>
      <c r="AE13" s="287"/>
      <c r="AF13" s="287"/>
    </row>
    <row r="14" spans="1:32" s="49" customFormat="1" ht="20.25" customHeight="1" x14ac:dyDescent="0.25">
      <c r="A14" s="671"/>
      <c r="B14" s="296">
        <v>2000</v>
      </c>
      <c r="C14" s="297" t="s">
        <v>479</v>
      </c>
      <c r="D14" s="298">
        <v>620000</v>
      </c>
      <c r="E14" s="234">
        <f t="shared" si="6"/>
        <v>347642.86</v>
      </c>
      <c r="F14" s="235">
        <v>272357.14</v>
      </c>
      <c r="G14" s="236">
        <f t="shared" si="2"/>
        <v>0.56071429032258058</v>
      </c>
      <c r="H14" s="71"/>
      <c r="I14" s="71"/>
      <c r="J14" s="71"/>
      <c r="K14" s="71"/>
      <c r="L14" s="71"/>
      <c r="M14" s="71"/>
      <c r="N14" s="71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78"/>
      <c r="AA14" s="78"/>
      <c r="AB14" s="78"/>
      <c r="AC14" s="287"/>
      <c r="AD14" s="287"/>
      <c r="AE14" s="287"/>
      <c r="AF14" s="287"/>
    </row>
    <row r="15" spans="1:32" s="49" customFormat="1" ht="20.25" customHeight="1" x14ac:dyDescent="0.25">
      <c r="A15" s="679" t="s">
        <v>480</v>
      </c>
      <c r="B15" s="675"/>
      <c r="C15" s="675"/>
      <c r="D15" s="291">
        <f>SUBTOTAL(109,D16)</f>
        <v>575000</v>
      </c>
      <c r="E15" s="292">
        <f>SUBTOTAL(109,E16)</f>
        <v>569510.42000000004</v>
      </c>
      <c r="F15" s="292">
        <f t="shared" ref="F15" si="7">SUBTOTAL(109,F16)</f>
        <v>5489.58</v>
      </c>
      <c r="G15" s="293">
        <f t="shared" si="2"/>
        <v>0.99045290434782618</v>
      </c>
      <c r="H15" s="71"/>
      <c r="I15" s="71"/>
      <c r="J15" s="71"/>
      <c r="K15" s="71"/>
      <c r="L15" s="71"/>
      <c r="M15" s="71"/>
      <c r="N15" s="71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78"/>
      <c r="AA15" s="78"/>
      <c r="AB15" s="78"/>
      <c r="AC15" s="287"/>
      <c r="AD15" s="287"/>
      <c r="AE15" s="287"/>
      <c r="AF15" s="287"/>
    </row>
    <row r="16" spans="1:32" s="49" customFormat="1" ht="20.25" customHeight="1" x14ac:dyDescent="0.25">
      <c r="A16" s="51" t="s">
        <v>481</v>
      </c>
      <c r="B16" s="288">
        <v>2000</v>
      </c>
      <c r="C16" s="299" t="s">
        <v>482</v>
      </c>
      <c r="D16" s="300">
        <v>575000</v>
      </c>
      <c r="E16" s="234">
        <f>D16-F16</f>
        <v>569510.42000000004</v>
      </c>
      <c r="F16" s="300">
        <v>5489.58</v>
      </c>
      <c r="G16" s="301">
        <f t="shared" si="2"/>
        <v>0.99045290434782618</v>
      </c>
      <c r="H16" s="71"/>
      <c r="I16" s="71"/>
      <c r="J16" s="71"/>
      <c r="K16" s="71"/>
      <c r="L16" s="71"/>
      <c r="M16" s="71"/>
      <c r="N16" s="71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75"/>
      <c r="AA16" s="75"/>
      <c r="AB16" s="75"/>
      <c r="AC16" s="287"/>
      <c r="AD16" s="287"/>
      <c r="AE16" s="287"/>
      <c r="AF16" s="287"/>
    </row>
    <row r="17" spans="1:32" s="49" customFormat="1" ht="20.25" customHeight="1" x14ac:dyDescent="0.25">
      <c r="A17" s="656" t="s">
        <v>483</v>
      </c>
      <c r="B17" s="657"/>
      <c r="C17" s="669"/>
      <c r="D17" s="302">
        <f>SUBTOTAL(109,D18)</f>
        <v>130000</v>
      </c>
      <c r="E17" s="302">
        <f>SUBTOTAL(109,E18)</f>
        <v>52970.81</v>
      </c>
      <c r="F17" s="302">
        <f>SUBTOTAL(109,F18:F19)</f>
        <v>177029.19</v>
      </c>
      <c r="G17" s="303">
        <f t="shared" si="2"/>
        <v>0.40746776923076922</v>
      </c>
      <c r="H17" s="71"/>
      <c r="I17" s="71"/>
      <c r="J17" s="71"/>
      <c r="K17" s="71"/>
      <c r="L17" s="71"/>
      <c r="M17" s="71"/>
      <c r="N17" s="71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75"/>
      <c r="AA17" s="75"/>
      <c r="AB17" s="75"/>
      <c r="AC17" s="287"/>
      <c r="AD17" s="287"/>
      <c r="AE17" s="287"/>
      <c r="AF17" s="287"/>
    </row>
    <row r="18" spans="1:32" s="49" customFormat="1" ht="20.25" customHeight="1" x14ac:dyDescent="0.25">
      <c r="A18" s="54" t="s">
        <v>484</v>
      </c>
      <c r="B18" s="288">
        <v>2000</v>
      </c>
      <c r="C18" s="304" t="s">
        <v>485</v>
      </c>
      <c r="D18" s="305">
        <v>130000</v>
      </c>
      <c r="E18" s="234">
        <f t="shared" ref="E18:E19" si="8">D18-F18</f>
        <v>52970.81</v>
      </c>
      <c r="F18" s="306">
        <v>77029.19</v>
      </c>
      <c r="G18" s="283">
        <f t="shared" si="2"/>
        <v>0.40746776923076922</v>
      </c>
      <c r="H18" s="71"/>
      <c r="I18" s="71"/>
      <c r="J18" s="71"/>
      <c r="K18" s="71"/>
      <c r="L18" s="71"/>
      <c r="M18" s="71"/>
      <c r="N18" s="71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75"/>
      <c r="AA18" s="75"/>
      <c r="AB18" s="75"/>
      <c r="AC18" s="287"/>
      <c r="AD18" s="287"/>
      <c r="AE18" s="287"/>
      <c r="AF18" s="287"/>
    </row>
    <row r="19" spans="1:32" s="49" customFormat="1" ht="20.25" customHeight="1" x14ac:dyDescent="0.25">
      <c r="A19" s="54" t="s">
        <v>486</v>
      </c>
      <c r="B19" s="55">
        <v>2000</v>
      </c>
      <c r="C19" s="304" t="s">
        <v>487</v>
      </c>
      <c r="D19" s="305">
        <v>100000</v>
      </c>
      <c r="E19" s="234">
        <f t="shared" si="8"/>
        <v>0</v>
      </c>
      <c r="F19" s="306">
        <v>100000</v>
      </c>
      <c r="G19" s="283">
        <f t="shared" si="2"/>
        <v>0</v>
      </c>
      <c r="H19" s="71"/>
      <c r="I19" s="71"/>
      <c r="J19" s="71"/>
      <c r="K19" s="71"/>
      <c r="L19" s="71"/>
      <c r="M19" s="71"/>
      <c r="N19" s="71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75"/>
      <c r="AA19" s="75"/>
      <c r="AB19" s="75"/>
      <c r="AC19" s="287"/>
      <c r="AD19" s="287"/>
      <c r="AE19" s="287"/>
      <c r="AF19" s="287"/>
    </row>
    <row r="20" spans="1:32" s="49" customFormat="1" ht="20.25" customHeight="1" x14ac:dyDescent="0.25">
      <c r="A20" s="656" t="s">
        <v>488</v>
      </c>
      <c r="B20" s="657"/>
      <c r="C20" s="658"/>
      <c r="D20" s="307">
        <f>SUBTOTAL(109,D21)</f>
        <v>5000</v>
      </c>
      <c r="E20" s="302">
        <f t="shared" ref="E20" si="9">SUBTOTAL(109,E21)</f>
        <v>1338.58</v>
      </c>
      <c r="F20" s="302">
        <f t="shared" ref="F20" si="10">SUBTOTAL(109,F21)</f>
        <v>3661.42</v>
      </c>
      <c r="G20" s="303">
        <f t="shared" si="2"/>
        <v>0.26771600000000001</v>
      </c>
      <c r="H20" s="71"/>
      <c r="I20" s="71"/>
      <c r="J20" s="71"/>
      <c r="K20" s="71"/>
      <c r="L20" s="71"/>
      <c r="M20" s="71"/>
      <c r="N20" s="71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75"/>
      <c r="AA20" s="75"/>
      <c r="AB20" s="75"/>
      <c r="AC20" s="287"/>
      <c r="AD20" s="287"/>
      <c r="AE20" s="287"/>
      <c r="AF20" s="287"/>
    </row>
    <row r="21" spans="1:32" s="49" customFormat="1" ht="20.25" customHeight="1" x14ac:dyDescent="0.25">
      <c r="A21" s="54" t="s">
        <v>489</v>
      </c>
      <c r="B21" s="288">
        <v>2000</v>
      </c>
      <c r="C21" s="304" t="s">
        <v>490</v>
      </c>
      <c r="D21" s="305">
        <v>5000</v>
      </c>
      <c r="E21" s="234">
        <f>D21-F21</f>
        <v>1338.58</v>
      </c>
      <c r="F21" s="306">
        <v>3661.42</v>
      </c>
      <c r="G21" s="283">
        <f t="shared" si="2"/>
        <v>0.26771600000000001</v>
      </c>
      <c r="H21" s="71"/>
      <c r="I21" s="71"/>
      <c r="J21" s="71"/>
      <c r="K21" s="71"/>
      <c r="L21" s="71"/>
      <c r="M21" s="71"/>
      <c r="N21" s="71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75"/>
      <c r="AA21" s="75"/>
      <c r="AB21" s="75"/>
      <c r="AC21" s="287"/>
      <c r="AD21" s="287"/>
      <c r="AE21" s="287"/>
      <c r="AF21" s="287"/>
    </row>
    <row r="22" spans="1:32" s="49" customFormat="1" ht="20.25" customHeight="1" x14ac:dyDescent="0.25">
      <c r="A22" s="656" t="s">
        <v>491</v>
      </c>
      <c r="B22" s="657"/>
      <c r="C22" s="658"/>
      <c r="D22" s="307">
        <f>SUBTOTAL(109,D23)</f>
        <v>20000</v>
      </c>
      <c r="E22" s="302">
        <f>SUBTOTAL(109,E23)</f>
        <v>11027.47</v>
      </c>
      <c r="F22" s="302">
        <f t="shared" ref="F22" si="11">SUBTOTAL(109,F23)</f>
        <v>8972.5300000000007</v>
      </c>
      <c r="G22" s="303">
        <f t="shared" si="2"/>
        <v>0.55137349999999996</v>
      </c>
      <c r="H22" s="71"/>
      <c r="I22" s="71"/>
      <c r="J22" s="71"/>
      <c r="K22" s="71"/>
      <c r="L22" s="71"/>
      <c r="M22" s="71"/>
      <c r="N22" s="71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75"/>
      <c r="AA22" s="75"/>
      <c r="AB22" s="75"/>
      <c r="AC22" s="287"/>
      <c r="AD22" s="287"/>
      <c r="AE22" s="287"/>
      <c r="AF22" s="287"/>
    </row>
    <row r="23" spans="1:32" s="49" customFormat="1" ht="20.25" customHeight="1" x14ac:dyDescent="0.25">
      <c r="A23" s="54" t="s">
        <v>492</v>
      </c>
      <c r="B23" s="308">
        <v>2000</v>
      </c>
      <c r="C23" s="304" t="s">
        <v>493</v>
      </c>
      <c r="D23" s="305">
        <v>20000</v>
      </c>
      <c r="E23" s="234">
        <f>D23-F23</f>
        <v>11027.47</v>
      </c>
      <c r="F23" s="306">
        <v>8972.5300000000007</v>
      </c>
      <c r="G23" s="283">
        <f t="shared" si="2"/>
        <v>0.55137349999999996</v>
      </c>
      <c r="H23" s="287"/>
      <c r="I23" s="287"/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78"/>
      <c r="AA23" s="78"/>
      <c r="AB23" s="78"/>
      <c r="AC23" s="287"/>
      <c r="AD23" s="287"/>
      <c r="AE23" s="287"/>
      <c r="AF23" s="287"/>
    </row>
    <row r="24" spans="1:32" s="49" customFormat="1" ht="20.25" customHeight="1" x14ac:dyDescent="0.25">
      <c r="A24" s="665" t="s">
        <v>108</v>
      </c>
      <c r="B24" s="666"/>
      <c r="C24" s="667"/>
      <c r="D24" s="309">
        <f>SUBTOTAL(109,D25:D35)</f>
        <v>1097065</v>
      </c>
      <c r="E24" s="310">
        <f t="shared" ref="E24:F24" si="12">SUBTOTAL(109,E25:E35)</f>
        <v>592725.56000000006</v>
      </c>
      <c r="F24" s="310">
        <f t="shared" si="12"/>
        <v>504339.44</v>
      </c>
      <c r="G24" s="311">
        <f t="shared" si="2"/>
        <v>0.54028299143624126</v>
      </c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683" t="s">
        <v>467</v>
      </c>
      <c r="AA24" s="683"/>
      <c r="AB24" s="683"/>
      <c r="AC24" s="287"/>
      <c r="AD24" s="287"/>
      <c r="AE24" s="287"/>
      <c r="AF24" s="287"/>
    </row>
    <row r="25" spans="1:32" s="49" customFormat="1" ht="20.25" customHeight="1" x14ac:dyDescent="0.25">
      <c r="A25" s="656" t="s">
        <v>468</v>
      </c>
      <c r="B25" s="657"/>
      <c r="C25" s="658"/>
      <c r="D25" s="291">
        <f>SUBTOTAL(109,D26)</f>
        <v>202065</v>
      </c>
      <c r="E25" s="292">
        <f t="shared" ref="E25:F25" si="13">SUBTOTAL(109,E26)</f>
        <v>96908.4</v>
      </c>
      <c r="F25" s="292">
        <f t="shared" si="13"/>
        <v>105156.6</v>
      </c>
      <c r="G25" s="293">
        <f t="shared" si="2"/>
        <v>0.47959023086630537</v>
      </c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75" t="s">
        <v>469</v>
      </c>
      <c r="AA25" s="76">
        <f>E24</f>
        <v>592725.56000000006</v>
      </c>
      <c r="AB25" s="77">
        <f>AA25/AA26</f>
        <v>4.4576617444556273E-3</v>
      </c>
      <c r="AC25" s="287"/>
      <c r="AD25" s="287"/>
      <c r="AE25" s="287"/>
      <c r="AF25" s="287"/>
    </row>
    <row r="26" spans="1:32" s="49" customFormat="1" ht="20.25" customHeight="1" x14ac:dyDescent="0.25">
      <c r="A26" s="50" t="s">
        <v>470</v>
      </c>
      <c r="B26" s="288" t="s">
        <v>494</v>
      </c>
      <c r="C26" s="289" t="s">
        <v>495</v>
      </c>
      <c r="D26" s="290">
        <v>202065</v>
      </c>
      <c r="E26" s="234">
        <f>D26-F26</f>
        <v>96908.4</v>
      </c>
      <c r="F26" s="234">
        <v>105156.6</v>
      </c>
      <c r="G26" s="237">
        <f t="shared" si="2"/>
        <v>0.47959023086630537</v>
      </c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75" t="s">
        <v>472</v>
      </c>
      <c r="AA26" s="76">
        <v>132967819</v>
      </c>
      <c r="AB26" s="77">
        <f>100%-AB25</f>
        <v>0.99554233825554439</v>
      </c>
      <c r="AC26" s="287"/>
      <c r="AD26" s="287"/>
      <c r="AE26" s="287"/>
      <c r="AF26" s="287"/>
    </row>
    <row r="27" spans="1:32" s="49" customFormat="1" ht="20.25" customHeight="1" x14ac:dyDescent="0.25">
      <c r="A27" s="656" t="s">
        <v>473</v>
      </c>
      <c r="B27" s="657"/>
      <c r="C27" s="658"/>
      <c r="D27" s="291">
        <f>SUBTOTAL(109,D28)</f>
        <v>165000</v>
      </c>
      <c r="E27" s="292">
        <f>SUBTOTAL(109,E28)</f>
        <v>62091.289999999994</v>
      </c>
      <c r="F27" s="292">
        <f t="shared" ref="F27" si="14">SUBTOTAL(109,F28)</f>
        <v>102908.71</v>
      </c>
      <c r="G27" s="293">
        <f t="shared" si="2"/>
        <v>0.37631084848484847</v>
      </c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75"/>
      <c r="AA27" s="75"/>
      <c r="AB27" s="75"/>
      <c r="AC27" s="287"/>
      <c r="AD27" s="287"/>
      <c r="AE27" s="287"/>
      <c r="AF27" s="287"/>
    </row>
    <row r="28" spans="1:32" s="49" customFormat="1" ht="20.25" customHeight="1" x14ac:dyDescent="0.25">
      <c r="A28" s="50" t="s">
        <v>474</v>
      </c>
      <c r="B28" s="288" t="s">
        <v>494</v>
      </c>
      <c r="C28" s="289" t="s">
        <v>496</v>
      </c>
      <c r="D28" s="290">
        <v>165000</v>
      </c>
      <c r="E28" s="234">
        <f>D28-F28</f>
        <v>62091.289999999994</v>
      </c>
      <c r="F28" s="234">
        <v>102908.71</v>
      </c>
      <c r="G28" s="237">
        <f t="shared" si="2"/>
        <v>0.37631084848484847</v>
      </c>
      <c r="H28" s="287"/>
      <c r="I28" s="287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683" t="s">
        <v>467</v>
      </c>
      <c r="AA28" s="683"/>
      <c r="AB28" s="683"/>
      <c r="AC28" s="287"/>
      <c r="AD28" s="287"/>
      <c r="AE28" s="287"/>
      <c r="AF28" s="287"/>
    </row>
    <row r="29" spans="1:32" s="49" customFormat="1" ht="20.25" customHeight="1" x14ac:dyDescent="0.25">
      <c r="A29" s="656" t="s">
        <v>476</v>
      </c>
      <c r="B29" s="657"/>
      <c r="C29" s="658"/>
      <c r="D29" s="291">
        <f>SUBTOTAL(109,D30:D31)</f>
        <v>420000</v>
      </c>
      <c r="E29" s="292">
        <f t="shared" ref="E29:F29" si="15">SUBTOTAL(109,E30:E31)</f>
        <v>317526.94</v>
      </c>
      <c r="F29" s="292">
        <f t="shared" si="15"/>
        <v>102473.06</v>
      </c>
      <c r="G29" s="293">
        <f t="shared" si="2"/>
        <v>0.75601652380952378</v>
      </c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75" t="s">
        <v>469</v>
      </c>
      <c r="AA29" s="76">
        <f>E24</f>
        <v>592725.56000000006</v>
      </c>
      <c r="AB29" s="77">
        <f>AA29/AA30</f>
        <v>0.54028299143624126</v>
      </c>
      <c r="AC29" s="287"/>
      <c r="AD29" s="287"/>
      <c r="AE29" s="287"/>
      <c r="AF29" s="287"/>
    </row>
    <row r="30" spans="1:32" s="49" customFormat="1" ht="20.25" customHeight="1" x14ac:dyDescent="0.25">
      <c r="A30" s="661" t="s">
        <v>477</v>
      </c>
      <c r="B30" s="308" t="s">
        <v>494</v>
      </c>
      <c r="C30" s="312" t="s">
        <v>497</v>
      </c>
      <c r="D30" s="313">
        <v>158000</v>
      </c>
      <c r="E30" s="234">
        <f t="shared" ref="E30:E31" si="16">D30-F30</f>
        <v>149248.88</v>
      </c>
      <c r="F30" s="300">
        <v>8751.1200000000008</v>
      </c>
      <c r="G30" s="301">
        <f t="shared" si="2"/>
        <v>0.94461316455696209</v>
      </c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75" t="s">
        <v>453</v>
      </c>
      <c r="AA30" s="76">
        <f>D24</f>
        <v>1097065</v>
      </c>
      <c r="AB30" s="77">
        <f>100%-AB29</f>
        <v>0.45971700856375874</v>
      </c>
      <c r="AC30" s="287"/>
      <c r="AD30" s="287"/>
      <c r="AE30" s="287"/>
      <c r="AF30" s="287"/>
    </row>
    <row r="31" spans="1:32" s="49" customFormat="1" ht="20.25" customHeight="1" x14ac:dyDescent="0.25">
      <c r="A31" s="660"/>
      <c r="B31" s="288" t="s">
        <v>494</v>
      </c>
      <c r="C31" s="289" t="s">
        <v>498</v>
      </c>
      <c r="D31" s="290">
        <v>262000</v>
      </c>
      <c r="E31" s="234">
        <f t="shared" si="16"/>
        <v>168278.06</v>
      </c>
      <c r="F31" s="234">
        <v>93721.94</v>
      </c>
      <c r="G31" s="237">
        <f t="shared" si="2"/>
        <v>0.64228267175572518</v>
      </c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78"/>
      <c r="AA31" s="78"/>
      <c r="AB31" s="78"/>
      <c r="AC31" s="287"/>
      <c r="AD31" s="287"/>
      <c r="AE31" s="287"/>
      <c r="AF31" s="287"/>
    </row>
    <row r="32" spans="1:32" s="49" customFormat="1" ht="20.25" customHeight="1" x14ac:dyDescent="0.25">
      <c r="A32" s="656" t="s">
        <v>480</v>
      </c>
      <c r="B32" s="657"/>
      <c r="C32" s="658"/>
      <c r="D32" s="291">
        <f>SUBTOTAL(109,D33)</f>
        <v>195000</v>
      </c>
      <c r="E32" s="292">
        <f t="shared" ref="E32:F32" si="17">SUBTOTAL(109,E33)</f>
        <v>83888.93</v>
      </c>
      <c r="F32" s="292">
        <f t="shared" si="17"/>
        <v>111111.07</v>
      </c>
      <c r="G32" s="293">
        <f t="shared" si="2"/>
        <v>0.43019964102564101</v>
      </c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78"/>
      <c r="AA32" s="78"/>
      <c r="AB32" s="78"/>
      <c r="AC32" s="287"/>
      <c r="AD32" s="287"/>
      <c r="AE32" s="287"/>
      <c r="AF32" s="287"/>
    </row>
    <row r="33" spans="1:32" s="49" customFormat="1" ht="20.25" customHeight="1" x14ac:dyDescent="0.25">
      <c r="A33" s="51" t="s">
        <v>481</v>
      </c>
      <c r="B33" s="288" t="s">
        <v>494</v>
      </c>
      <c r="C33" s="312" t="s">
        <v>499</v>
      </c>
      <c r="D33" s="313">
        <v>195000</v>
      </c>
      <c r="E33" s="234">
        <f>D33-F33</f>
        <v>83888.93</v>
      </c>
      <c r="F33" s="300">
        <v>111111.07</v>
      </c>
      <c r="G33" s="301">
        <f t="shared" si="2"/>
        <v>0.43019964102564101</v>
      </c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78"/>
      <c r="AA33" s="78"/>
      <c r="AB33" s="78"/>
      <c r="AC33" s="287"/>
      <c r="AD33" s="287"/>
      <c r="AE33" s="287"/>
      <c r="AF33" s="287"/>
    </row>
    <row r="34" spans="1:32" s="49" customFormat="1" ht="20.25" customHeight="1" x14ac:dyDescent="0.25">
      <c r="A34" s="656" t="s">
        <v>483</v>
      </c>
      <c r="B34" s="657"/>
      <c r="C34" s="658"/>
      <c r="D34" s="307">
        <f>SUBTOTAL(109,D35)</f>
        <v>115000</v>
      </c>
      <c r="E34" s="302">
        <f t="shared" ref="E34:F34" si="18">SUBTOTAL(109,E35)</f>
        <v>32310</v>
      </c>
      <c r="F34" s="302">
        <f t="shared" si="18"/>
        <v>82690</v>
      </c>
      <c r="G34" s="303">
        <f t="shared" si="2"/>
        <v>0.28095652173913044</v>
      </c>
      <c r="H34" s="287"/>
      <c r="I34" s="287"/>
      <c r="J34" s="287"/>
      <c r="K34" s="287"/>
      <c r="L34" s="287"/>
      <c r="M34" s="287"/>
      <c r="N34" s="287"/>
      <c r="O34" s="287"/>
      <c r="P34" s="287"/>
      <c r="Q34" s="287"/>
      <c r="R34" s="287"/>
      <c r="S34" s="287"/>
      <c r="T34" s="287"/>
      <c r="U34" s="287"/>
      <c r="V34" s="287"/>
      <c r="W34" s="287"/>
      <c r="X34" s="287"/>
      <c r="Y34" s="287"/>
      <c r="Z34" s="78"/>
      <c r="AA34" s="78"/>
      <c r="AB34" s="78"/>
      <c r="AC34" s="287"/>
      <c r="AD34" s="287"/>
      <c r="AE34" s="287"/>
      <c r="AF34" s="287"/>
    </row>
    <row r="35" spans="1:32" s="49" customFormat="1" ht="20.25" customHeight="1" x14ac:dyDescent="0.25">
      <c r="A35" s="52" t="s">
        <v>500</v>
      </c>
      <c r="B35" s="308" t="s">
        <v>494</v>
      </c>
      <c r="C35" s="297" t="s">
        <v>501</v>
      </c>
      <c r="D35" s="298">
        <v>115000</v>
      </c>
      <c r="E35" s="234">
        <f>D35-F35</f>
        <v>32310</v>
      </c>
      <c r="F35" s="235">
        <v>82690</v>
      </c>
      <c r="G35" s="236">
        <f t="shared" si="2"/>
        <v>0.28095652173913044</v>
      </c>
      <c r="H35" s="287"/>
      <c r="I35" s="287"/>
      <c r="J35" s="287"/>
      <c r="K35" s="287"/>
      <c r="L35" s="287"/>
      <c r="M35" s="287"/>
      <c r="N35" s="287"/>
      <c r="O35" s="287"/>
      <c r="P35" s="287"/>
      <c r="Q35" s="287"/>
      <c r="R35" s="287"/>
      <c r="S35" s="287"/>
      <c r="T35" s="287"/>
      <c r="U35" s="287"/>
      <c r="V35" s="287"/>
      <c r="W35" s="287"/>
      <c r="X35" s="287"/>
      <c r="Y35" s="287"/>
      <c r="Z35" s="78"/>
      <c r="AA35" s="78"/>
      <c r="AB35" s="78"/>
      <c r="AC35" s="287"/>
      <c r="AD35" s="287"/>
      <c r="AE35" s="287"/>
      <c r="AF35" s="287"/>
    </row>
    <row r="36" spans="1:32" s="49" customFormat="1" ht="20.25" customHeight="1" x14ac:dyDescent="0.25">
      <c r="A36" s="665" t="s">
        <v>94</v>
      </c>
      <c r="B36" s="666"/>
      <c r="C36" s="667"/>
      <c r="D36" s="314">
        <f>SUBTOTAL(109,D37:D58)</f>
        <v>2306737</v>
      </c>
      <c r="E36" s="315">
        <f t="shared" ref="E36:F36" si="19">SUBTOTAL(109,E37:E58)</f>
        <v>1408286.2200000002</v>
      </c>
      <c r="F36" s="316">
        <f t="shared" si="19"/>
        <v>898450.78</v>
      </c>
      <c r="G36" s="317">
        <f t="shared" si="2"/>
        <v>0.61051009282809454</v>
      </c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683" t="s">
        <v>467</v>
      </c>
      <c r="AA36" s="683"/>
      <c r="AB36" s="683"/>
      <c r="AC36" s="287"/>
      <c r="AD36" s="287"/>
      <c r="AE36" s="287"/>
      <c r="AF36" s="287"/>
    </row>
    <row r="37" spans="1:32" s="49" customFormat="1" ht="20.25" customHeight="1" x14ac:dyDescent="0.25">
      <c r="A37" s="656" t="s">
        <v>468</v>
      </c>
      <c r="B37" s="668"/>
      <c r="C37" s="658"/>
      <c r="D37" s="228">
        <f>SUBTOTAL(109,D38:D40)</f>
        <v>190000</v>
      </c>
      <c r="E37" s="302">
        <f t="shared" ref="E37:F37" si="20">SUBTOTAL(109,E38:E40)</f>
        <v>74206.02</v>
      </c>
      <c r="F37" s="318">
        <f t="shared" si="20"/>
        <v>115793.97999999998</v>
      </c>
      <c r="G37" s="319">
        <f t="shared" si="2"/>
        <v>0.39055800000000002</v>
      </c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75" t="s">
        <v>469</v>
      </c>
      <c r="AA37" s="76">
        <f>E36</f>
        <v>1408286.2200000002</v>
      </c>
      <c r="AB37" s="77">
        <f>AA37/AA38</f>
        <v>1.0591180863092898E-2</v>
      </c>
      <c r="AC37" s="287"/>
      <c r="AD37" s="287"/>
      <c r="AE37" s="287"/>
      <c r="AF37" s="287"/>
    </row>
    <row r="38" spans="1:32" s="49" customFormat="1" ht="20.25" customHeight="1" x14ac:dyDescent="0.25">
      <c r="A38" s="672" t="s">
        <v>470</v>
      </c>
      <c r="B38" s="320" t="s">
        <v>502</v>
      </c>
      <c r="C38" s="321" t="s">
        <v>503</v>
      </c>
      <c r="D38" s="313">
        <v>70000</v>
      </c>
      <c r="E38" s="234">
        <f t="shared" ref="E38:E40" si="21">D38-F38</f>
        <v>12424.330000000002</v>
      </c>
      <c r="F38" s="300">
        <v>57575.67</v>
      </c>
      <c r="G38" s="301">
        <f t="shared" si="2"/>
        <v>0.1774904285714286</v>
      </c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75" t="s">
        <v>472</v>
      </c>
      <c r="AA38" s="76">
        <v>132967819</v>
      </c>
      <c r="AB38" s="77">
        <f>100%-AB37</f>
        <v>0.98940881913690715</v>
      </c>
      <c r="AC38" s="287"/>
      <c r="AD38" s="287"/>
      <c r="AE38" s="287"/>
      <c r="AF38" s="287"/>
    </row>
    <row r="39" spans="1:32" s="49" customFormat="1" ht="20.25" customHeight="1" x14ac:dyDescent="0.25">
      <c r="A39" s="673"/>
      <c r="B39" s="320" t="s">
        <v>504</v>
      </c>
      <c r="C39" s="321" t="s">
        <v>505</v>
      </c>
      <c r="D39" s="290">
        <v>50000</v>
      </c>
      <c r="E39" s="234">
        <f t="shared" si="21"/>
        <v>28701.65</v>
      </c>
      <c r="F39" s="300">
        <v>21298.35</v>
      </c>
      <c r="G39" s="301">
        <f t="shared" si="2"/>
        <v>0.57403300000000002</v>
      </c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75"/>
      <c r="AA39" s="75"/>
      <c r="AB39" s="77"/>
      <c r="AC39" s="287"/>
      <c r="AD39" s="287"/>
      <c r="AE39" s="287"/>
      <c r="AF39" s="287"/>
    </row>
    <row r="40" spans="1:32" s="49" customFormat="1" ht="20.25" customHeight="1" x14ac:dyDescent="0.25">
      <c r="A40" s="674"/>
      <c r="B40" s="320" t="s">
        <v>506</v>
      </c>
      <c r="C40" s="322" t="s">
        <v>507</v>
      </c>
      <c r="D40" s="323">
        <v>70000</v>
      </c>
      <c r="E40" s="234">
        <f t="shared" si="21"/>
        <v>33080.04</v>
      </c>
      <c r="F40" s="300">
        <v>36919.96</v>
      </c>
      <c r="G40" s="301">
        <f t="shared" ref="G40:G74" si="22">E40/D40</f>
        <v>0.47257199999999999</v>
      </c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683" t="s">
        <v>467</v>
      </c>
      <c r="AA40" s="683"/>
      <c r="AB40" s="683"/>
      <c r="AC40" s="287"/>
      <c r="AD40" s="287"/>
      <c r="AE40" s="287"/>
      <c r="AF40" s="287"/>
    </row>
    <row r="41" spans="1:32" s="49" customFormat="1" ht="20.25" customHeight="1" x14ac:dyDescent="0.25">
      <c r="A41" s="656" t="s">
        <v>473</v>
      </c>
      <c r="B41" s="675"/>
      <c r="C41" s="669"/>
      <c r="D41" s="227">
        <f>SUBTOTAL(109,D42:D44)</f>
        <v>436737</v>
      </c>
      <c r="E41" s="228">
        <f t="shared" ref="E41" si="23">SUBTOTAL(109,E42:E44)</f>
        <v>291980.20999999996</v>
      </c>
      <c r="F41" s="229">
        <f t="shared" ref="F41" si="24">SUBTOTAL(109,F42:F44)</f>
        <v>144756.79</v>
      </c>
      <c r="G41" s="230">
        <f t="shared" si="22"/>
        <v>0.66854928709955874</v>
      </c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75" t="s">
        <v>469</v>
      </c>
      <c r="AA41" s="76">
        <f>E36</f>
        <v>1408286.2200000002</v>
      </c>
      <c r="AB41" s="77">
        <f>AA41/AA42</f>
        <v>0.61051009282809454</v>
      </c>
      <c r="AC41" s="287"/>
      <c r="AD41" s="287"/>
      <c r="AE41" s="287"/>
      <c r="AF41" s="287"/>
    </row>
    <row r="42" spans="1:32" s="49" customFormat="1" ht="20.25" customHeight="1" x14ac:dyDescent="0.25">
      <c r="A42" s="676" t="s">
        <v>474</v>
      </c>
      <c r="B42" s="308" t="s">
        <v>502</v>
      </c>
      <c r="C42" s="299" t="s">
        <v>508</v>
      </c>
      <c r="D42" s="324">
        <v>70000</v>
      </c>
      <c r="E42" s="234">
        <f t="shared" ref="E42:E44" si="25">D42-F42</f>
        <v>43495.46</v>
      </c>
      <c r="F42" s="300">
        <v>26504.54</v>
      </c>
      <c r="G42" s="301">
        <f t="shared" si="22"/>
        <v>0.62136371428571424</v>
      </c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75" t="s">
        <v>453</v>
      </c>
      <c r="AA42" s="76">
        <f>D36</f>
        <v>2306737</v>
      </c>
      <c r="AB42" s="77">
        <f>100%-AB41</f>
        <v>0.38948990717190546</v>
      </c>
      <c r="AC42" s="287"/>
      <c r="AD42" s="287"/>
      <c r="AE42" s="287"/>
      <c r="AF42" s="287"/>
    </row>
    <row r="43" spans="1:32" s="49" customFormat="1" ht="20.25" customHeight="1" x14ac:dyDescent="0.25">
      <c r="A43" s="677"/>
      <c r="B43" s="308" t="s">
        <v>504</v>
      </c>
      <c r="C43" s="299" t="s">
        <v>509</v>
      </c>
      <c r="D43" s="324">
        <v>50000</v>
      </c>
      <c r="E43" s="234">
        <f t="shared" si="25"/>
        <v>42325.95</v>
      </c>
      <c r="F43" s="300">
        <v>7674.05</v>
      </c>
      <c r="G43" s="301">
        <f t="shared" si="22"/>
        <v>0.84651899999999991</v>
      </c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78"/>
      <c r="AA43" s="78"/>
      <c r="AB43" s="78"/>
      <c r="AC43" s="287"/>
      <c r="AD43" s="287"/>
      <c r="AE43" s="287"/>
      <c r="AF43" s="287"/>
    </row>
    <row r="44" spans="1:32" s="49" customFormat="1" ht="20.25" customHeight="1" x14ac:dyDescent="0.25">
      <c r="A44" s="678"/>
      <c r="B44" s="288" t="s">
        <v>506</v>
      </c>
      <c r="C44" s="299" t="s">
        <v>510</v>
      </c>
      <c r="D44" s="324">
        <v>316737</v>
      </c>
      <c r="E44" s="234">
        <f t="shared" si="25"/>
        <v>206158.8</v>
      </c>
      <c r="F44" s="300">
        <v>110578.2</v>
      </c>
      <c r="G44" s="301">
        <f t="shared" si="22"/>
        <v>0.65088322488373629</v>
      </c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78"/>
      <c r="AA44" s="78"/>
      <c r="AB44" s="78"/>
      <c r="AC44" s="287"/>
      <c r="AD44" s="287"/>
      <c r="AE44" s="287"/>
      <c r="AF44" s="287"/>
    </row>
    <row r="45" spans="1:32" s="49" customFormat="1" ht="20.25" customHeight="1" x14ac:dyDescent="0.25">
      <c r="A45" s="679" t="s">
        <v>476</v>
      </c>
      <c r="B45" s="657"/>
      <c r="C45" s="680"/>
      <c r="D45" s="227">
        <f>SUBTOTAL(109,D46:D50)</f>
        <v>1030000</v>
      </c>
      <c r="E45" s="228">
        <f t="shared" ref="E45:F45" si="26">SUBTOTAL(109,E46:E50)</f>
        <v>529368.66</v>
      </c>
      <c r="F45" s="229">
        <f t="shared" si="26"/>
        <v>500631.34000000008</v>
      </c>
      <c r="G45" s="230">
        <f t="shared" si="22"/>
        <v>0.51395015533980581</v>
      </c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287"/>
      <c r="S45" s="287"/>
      <c r="T45" s="287"/>
      <c r="U45" s="287"/>
      <c r="V45" s="287"/>
      <c r="W45" s="287"/>
      <c r="X45" s="287"/>
      <c r="Y45" s="287"/>
      <c r="Z45" s="78"/>
      <c r="AA45" s="78"/>
      <c r="AB45" s="78"/>
      <c r="AC45" s="287"/>
      <c r="AD45" s="287"/>
      <c r="AE45" s="287"/>
      <c r="AF45" s="287"/>
    </row>
    <row r="46" spans="1:32" s="49" customFormat="1" ht="20.25" customHeight="1" x14ac:dyDescent="0.25">
      <c r="A46" s="661" t="s">
        <v>477</v>
      </c>
      <c r="B46" s="308" t="s">
        <v>502</v>
      </c>
      <c r="C46" s="299" t="s">
        <v>511</v>
      </c>
      <c r="D46" s="324">
        <v>100000</v>
      </c>
      <c r="E46" s="234">
        <f t="shared" ref="E46:E50" si="27">D46-F46</f>
        <v>0</v>
      </c>
      <c r="F46" s="300">
        <v>100000</v>
      </c>
      <c r="G46" s="301">
        <f t="shared" si="22"/>
        <v>0</v>
      </c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78"/>
      <c r="AA46" s="78"/>
      <c r="AB46" s="78"/>
      <c r="AC46" s="287"/>
      <c r="AD46" s="287"/>
      <c r="AE46" s="287"/>
      <c r="AF46" s="287"/>
    </row>
    <row r="47" spans="1:32" s="49" customFormat="1" ht="20.25" customHeight="1" x14ac:dyDescent="0.25">
      <c r="A47" s="659"/>
      <c r="B47" s="308" t="s">
        <v>506</v>
      </c>
      <c r="C47" s="299" t="s">
        <v>512</v>
      </c>
      <c r="D47" s="324">
        <v>100000</v>
      </c>
      <c r="E47" s="234">
        <f t="shared" si="27"/>
        <v>24666.399999999994</v>
      </c>
      <c r="F47" s="300">
        <v>75333.600000000006</v>
      </c>
      <c r="G47" s="301">
        <f t="shared" si="22"/>
        <v>0.24666399999999994</v>
      </c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78"/>
      <c r="AA47" s="78"/>
      <c r="AB47" s="78"/>
      <c r="AC47" s="287"/>
      <c r="AD47" s="287"/>
      <c r="AE47" s="287"/>
      <c r="AF47" s="287"/>
    </row>
    <row r="48" spans="1:32" s="49" customFormat="1" ht="20.25" customHeight="1" x14ac:dyDescent="0.25">
      <c r="A48" s="659"/>
      <c r="B48" s="288" t="s">
        <v>502</v>
      </c>
      <c r="C48" s="325" t="s">
        <v>513</v>
      </c>
      <c r="D48" s="326">
        <v>440000</v>
      </c>
      <c r="E48" s="234">
        <f t="shared" si="27"/>
        <v>219260.43</v>
      </c>
      <c r="F48" s="234">
        <v>220739.57</v>
      </c>
      <c r="G48" s="237">
        <f t="shared" si="22"/>
        <v>0.49831915909090907</v>
      </c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78"/>
      <c r="AA48" s="78"/>
      <c r="AB48" s="78"/>
      <c r="AC48" s="287"/>
      <c r="AD48" s="287"/>
      <c r="AE48" s="287"/>
      <c r="AF48" s="287"/>
    </row>
    <row r="49" spans="1:32" s="49" customFormat="1" ht="20.25" customHeight="1" x14ac:dyDescent="0.25">
      <c r="A49" s="659"/>
      <c r="B49" s="281" t="s">
        <v>504</v>
      </c>
      <c r="C49" s="327" t="s">
        <v>514</v>
      </c>
      <c r="D49" s="323">
        <v>130000</v>
      </c>
      <c r="E49" s="234">
        <f t="shared" si="27"/>
        <v>100225.48</v>
      </c>
      <c r="F49" s="306">
        <v>29774.52</v>
      </c>
      <c r="G49" s="283">
        <f t="shared" si="22"/>
        <v>0.77096523076923074</v>
      </c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78"/>
      <c r="AA49" s="78"/>
      <c r="AB49" s="78"/>
      <c r="AC49" s="287"/>
      <c r="AD49" s="287"/>
      <c r="AE49" s="287"/>
      <c r="AF49" s="287"/>
    </row>
    <row r="50" spans="1:32" s="49" customFormat="1" ht="20.25" customHeight="1" x14ac:dyDescent="0.25">
      <c r="A50" s="659"/>
      <c r="B50" s="288" t="s">
        <v>506</v>
      </c>
      <c r="C50" s="299" t="s">
        <v>515</v>
      </c>
      <c r="D50" s="324">
        <v>260000</v>
      </c>
      <c r="E50" s="234">
        <f t="shared" si="27"/>
        <v>185216.35</v>
      </c>
      <c r="F50" s="300">
        <v>74783.649999999994</v>
      </c>
      <c r="G50" s="301">
        <f t="shared" si="22"/>
        <v>0.71237057692307693</v>
      </c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78"/>
      <c r="AA50" s="78"/>
      <c r="AB50" s="78"/>
      <c r="AC50" s="287"/>
      <c r="AD50" s="287"/>
      <c r="AE50" s="287"/>
      <c r="AF50" s="287"/>
    </row>
    <row r="51" spans="1:32" s="49" customFormat="1" ht="20.25" customHeight="1" x14ac:dyDescent="0.25">
      <c r="A51" s="656" t="s">
        <v>480</v>
      </c>
      <c r="B51" s="657"/>
      <c r="C51" s="680"/>
      <c r="D51" s="227">
        <f>SUBTOTAL(109,D52:D54)</f>
        <v>390000</v>
      </c>
      <c r="E51" s="228">
        <f t="shared" ref="E51:F51" si="28">SUBTOTAL(109,E52:E54)</f>
        <v>340158.83</v>
      </c>
      <c r="F51" s="229">
        <f t="shared" si="28"/>
        <v>49841.17</v>
      </c>
      <c r="G51" s="230">
        <f t="shared" si="22"/>
        <v>0.87220212820512821</v>
      </c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78"/>
      <c r="AA51" s="78"/>
      <c r="AB51" s="78"/>
      <c r="AC51" s="287"/>
      <c r="AD51" s="287"/>
      <c r="AE51" s="287"/>
      <c r="AF51" s="287"/>
    </row>
    <row r="52" spans="1:32" s="49" customFormat="1" ht="20.25" customHeight="1" x14ac:dyDescent="0.25">
      <c r="A52" s="659" t="s">
        <v>481</v>
      </c>
      <c r="B52" s="308" t="s">
        <v>502</v>
      </c>
      <c r="C52" s="312" t="s">
        <v>516</v>
      </c>
      <c r="D52" s="328">
        <v>70000</v>
      </c>
      <c r="E52" s="234">
        <f t="shared" ref="E52:E54" si="29">D52-F52</f>
        <v>58441.69</v>
      </c>
      <c r="F52" s="300">
        <v>11558.31</v>
      </c>
      <c r="G52" s="301">
        <f t="shared" si="22"/>
        <v>0.83488128571428577</v>
      </c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78"/>
      <c r="AA52" s="78"/>
      <c r="AB52" s="78"/>
      <c r="AC52" s="287"/>
      <c r="AD52" s="287"/>
      <c r="AE52" s="287"/>
      <c r="AF52" s="287"/>
    </row>
    <row r="53" spans="1:32" s="49" customFormat="1" ht="20.25" customHeight="1" x14ac:dyDescent="0.25">
      <c r="A53" s="659"/>
      <c r="B53" s="308" t="s">
        <v>504</v>
      </c>
      <c r="C53" s="299" t="s">
        <v>517</v>
      </c>
      <c r="D53" s="326">
        <v>50000</v>
      </c>
      <c r="E53" s="234">
        <f t="shared" si="29"/>
        <v>22496.42</v>
      </c>
      <c r="F53" s="234">
        <v>27503.58</v>
      </c>
      <c r="G53" s="237">
        <f t="shared" si="22"/>
        <v>0.44992839999999995</v>
      </c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78"/>
      <c r="AA53" s="78"/>
      <c r="AB53" s="78"/>
      <c r="AC53" s="287"/>
      <c r="AD53" s="287"/>
      <c r="AE53" s="287"/>
      <c r="AF53" s="287"/>
    </row>
    <row r="54" spans="1:32" s="49" customFormat="1" ht="20.25" customHeight="1" x14ac:dyDescent="0.25">
      <c r="A54" s="660"/>
      <c r="B54" s="288" t="s">
        <v>506</v>
      </c>
      <c r="C54" s="325" t="s">
        <v>518</v>
      </c>
      <c r="D54" s="233">
        <v>270000</v>
      </c>
      <c r="E54" s="234">
        <f t="shared" si="29"/>
        <v>259220.72</v>
      </c>
      <c r="F54" s="235">
        <v>10779.28</v>
      </c>
      <c r="G54" s="236">
        <f t="shared" si="22"/>
        <v>0.96007674074074079</v>
      </c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78"/>
      <c r="AA54" s="78"/>
      <c r="AB54" s="78"/>
      <c r="AC54" s="287"/>
      <c r="AD54" s="287"/>
      <c r="AE54" s="287"/>
      <c r="AF54" s="287"/>
    </row>
    <row r="55" spans="1:32" s="49" customFormat="1" ht="20.25" customHeight="1" x14ac:dyDescent="0.25">
      <c r="A55" s="681" t="s">
        <v>483</v>
      </c>
      <c r="B55" s="657"/>
      <c r="C55" s="682"/>
      <c r="D55" s="329">
        <f>SUBTOTAL(109,D56:D58)</f>
        <v>260000</v>
      </c>
      <c r="E55" s="291">
        <f t="shared" ref="E55:F55" si="30">SUBTOTAL(109,E56:E58)</f>
        <v>172572.5</v>
      </c>
      <c r="F55" s="330">
        <f t="shared" si="30"/>
        <v>87427.5</v>
      </c>
      <c r="G55" s="331">
        <f t="shared" si="22"/>
        <v>0.66374038461538465</v>
      </c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287"/>
      <c r="S55" s="287"/>
      <c r="T55" s="287"/>
      <c r="U55" s="287"/>
      <c r="V55" s="287"/>
      <c r="W55" s="287"/>
      <c r="X55" s="287"/>
      <c r="Y55" s="287"/>
      <c r="Z55" s="78"/>
      <c r="AA55" s="78"/>
      <c r="AB55" s="78"/>
      <c r="AC55" s="287"/>
      <c r="AD55" s="287"/>
      <c r="AE55" s="287"/>
      <c r="AF55" s="287"/>
    </row>
    <row r="56" spans="1:32" s="49" customFormat="1" ht="20.25" customHeight="1" x14ac:dyDescent="0.25">
      <c r="A56" s="661" t="s">
        <v>500</v>
      </c>
      <c r="B56" s="308" t="s">
        <v>504</v>
      </c>
      <c r="C56" s="299" t="s">
        <v>519</v>
      </c>
      <c r="D56" s="324">
        <v>30000</v>
      </c>
      <c r="E56" s="234">
        <f t="shared" ref="E56:E58" si="31">D56-F56</f>
        <v>12290</v>
      </c>
      <c r="F56" s="300">
        <v>17710</v>
      </c>
      <c r="G56" s="301">
        <f t="shared" si="22"/>
        <v>0.40966666666666668</v>
      </c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78"/>
      <c r="AA56" s="78"/>
      <c r="AB56" s="78"/>
      <c r="AC56" s="287"/>
      <c r="AD56" s="287"/>
      <c r="AE56" s="287"/>
      <c r="AF56" s="287"/>
    </row>
    <row r="57" spans="1:32" s="49" customFormat="1" ht="20.25" customHeight="1" x14ac:dyDescent="0.25">
      <c r="A57" s="659"/>
      <c r="B57" s="288" t="s">
        <v>502</v>
      </c>
      <c r="C57" s="325" t="s">
        <v>520</v>
      </c>
      <c r="D57" s="326">
        <v>180000</v>
      </c>
      <c r="E57" s="234">
        <f t="shared" si="31"/>
        <v>110690</v>
      </c>
      <c r="F57" s="234">
        <v>69310</v>
      </c>
      <c r="G57" s="237">
        <f t="shared" si="22"/>
        <v>0.6149444444444444</v>
      </c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78"/>
      <c r="AA57" s="78"/>
      <c r="AB57" s="78"/>
      <c r="AC57" s="287"/>
      <c r="AD57" s="287"/>
      <c r="AE57" s="287"/>
      <c r="AF57" s="287"/>
    </row>
    <row r="58" spans="1:32" s="49" customFormat="1" ht="20.25" customHeight="1" x14ac:dyDescent="0.25">
      <c r="A58" s="660"/>
      <c r="B58" s="296" t="s">
        <v>506</v>
      </c>
      <c r="C58" s="332" t="s">
        <v>521</v>
      </c>
      <c r="D58" s="233">
        <v>50000</v>
      </c>
      <c r="E58" s="234">
        <f t="shared" si="31"/>
        <v>49592.5</v>
      </c>
      <c r="F58" s="235">
        <v>407.5</v>
      </c>
      <c r="G58" s="236">
        <f t="shared" si="22"/>
        <v>0.99185000000000001</v>
      </c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78"/>
      <c r="AA58" s="78"/>
      <c r="AB58" s="78"/>
      <c r="AC58" s="287"/>
      <c r="AD58" s="287"/>
      <c r="AE58" s="287"/>
      <c r="AF58" s="287"/>
    </row>
    <row r="59" spans="1:32" s="49" customFormat="1" ht="20.25" customHeight="1" x14ac:dyDescent="0.25">
      <c r="A59" s="665" t="s">
        <v>114</v>
      </c>
      <c r="B59" s="666"/>
      <c r="C59" s="667"/>
      <c r="D59" s="333">
        <f>SUBTOTAL(109,D60:D71)</f>
        <v>1781350.15</v>
      </c>
      <c r="E59" s="314">
        <f t="shared" ref="E59:F59" si="32">SUBTOTAL(109,E60:E71)</f>
        <v>907148.57000000007</v>
      </c>
      <c r="F59" s="334">
        <f t="shared" si="32"/>
        <v>874201.58</v>
      </c>
      <c r="G59" s="335">
        <f t="shared" si="22"/>
        <v>0.50924775794360255</v>
      </c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683" t="s">
        <v>467</v>
      </c>
      <c r="AA59" s="683"/>
      <c r="AB59" s="683"/>
      <c r="AC59" s="287"/>
      <c r="AD59" s="287"/>
      <c r="AE59" s="287"/>
      <c r="AF59" s="287"/>
    </row>
    <row r="60" spans="1:32" s="49" customFormat="1" ht="20.25" customHeight="1" x14ac:dyDescent="0.25">
      <c r="A60" s="656" t="s">
        <v>468</v>
      </c>
      <c r="B60" s="658"/>
      <c r="C60" s="669"/>
      <c r="D60" s="238">
        <f>SUBTOTAL(109,D61)</f>
        <v>335382.5</v>
      </c>
      <c r="E60" s="307">
        <f t="shared" ref="E60" si="33">SUBTOTAL(109,E61)</f>
        <v>172332.23</v>
      </c>
      <c r="F60" s="302">
        <f t="shared" ref="F60" si="34">SUBTOTAL(109,F61)</f>
        <v>163050.26999999999</v>
      </c>
      <c r="G60" s="303">
        <f t="shared" si="22"/>
        <v>0.51383787168382378</v>
      </c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75" t="s">
        <v>469</v>
      </c>
      <c r="AA60" s="76">
        <f>E59</f>
        <v>907148.57000000007</v>
      </c>
      <c r="AB60" s="77">
        <f>AA60/AA61</f>
        <v>6.8223166840090839E-3</v>
      </c>
      <c r="AC60" s="287"/>
      <c r="AD60" s="287"/>
      <c r="AE60" s="287"/>
      <c r="AF60" s="287"/>
    </row>
    <row r="61" spans="1:32" s="49" customFormat="1" ht="20.25" customHeight="1" x14ac:dyDescent="0.25">
      <c r="A61" s="54" t="s">
        <v>470</v>
      </c>
      <c r="B61" s="296" t="s">
        <v>522</v>
      </c>
      <c r="C61" s="327" t="s">
        <v>523</v>
      </c>
      <c r="D61" s="323">
        <v>335382.5</v>
      </c>
      <c r="E61" s="234">
        <f>D61-F61</f>
        <v>172332.23</v>
      </c>
      <c r="F61" s="336">
        <v>163050.26999999999</v>
      </c>
      <c r="G61" s="337">
        <f t="shared" si="22"/>
        <v>0.51383787168382378</v>
      </c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75" t="s">
        <v>472</v>
      </c>
      <c r="AA61" s="76">
        <v>132967819</v>
      </c>
      <c r="AB61" s="77">
        <f>100%-AB60</f>
        <v>0.99317768331599088</v>
      </c>
      <c r="AC61" s="287"/>
      <c r="AD61" s="287"/>
      <c r="AE61" s="287"/>
      <c r="AF61" s="287"/>
    </row>
    <row r="62" spans="1:32" s="49" customFormat="1" ht="20.25" customHeight="1" x14ac:dyDescent="0.25">
      <c r="A62" s="656" t="s">
        <v>473</v>
      </c>
      <c r="B62" s="668"/>
      <c r="C62" s="669"/>
      <c r="D62" s="238">
        <f>SUBTOTAL(109,D63:D64)</f>
        <v>287891.65000000002</v>
      </c>
      <c r="E62" s="238">
        <f t="shared" ref="E62:F62" si="35">SUBTOTAL(109,E63:E64)</f>
        <v>135901.46</v>
      </c>
      <c r="F62" s="238">
        <f t="shared" si="35"/>
        <v>151990.19</v>
      </c>
      <c r="G62" s="338">
        <f t="shared" si="22"/>
        <v>0.4720576647499154</v>
      </c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75"/>
      <c r="AA62" s="75"/>
      <c r="AB62" s="75"/>
      <c r="AC62" s="287"/>
      <c r="AD62" s="287"/>
      <c r="AE62" s="287"/>
      <c r="AF62" s="287"/>
    </row>
    <row r="63" spans="1:32" s="49" customFormat="1" ht="20.25" customHeight="1" x14ac:dyDescent="0.25">
      <c r="A63" s="670" t="s">
        <v>474</v>
      </c>
      <c r="B63" s="296" t="s">
        <v>522</v>
      </c>
      <c r="C63" s="327" t="s">
        <v>524</v>
      </c>
      <c r="D63" s="323">
        <v>123681.15</v>
      </c>
      <c r="E63" s="234">
        <f t="shared" ref="E63:E64" si="36">D63-F63</f>
        <v>59379.969999999994</v>
      </c>
      <c r="F63" s="336">
        <v>64301.18</v>
      </c>
      <c r="G63" s="337">
        <f t="shared" si="22"/>
        <v>0.48010525451938307</v>
      </c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683" t="s">
        <v>467</v>
      </c>
      <c r="AA63" s="683"/>
      <c r="AB63" s="683"/>
      <c r="AC63" s="287"/>
      <c r="AD63" s="287"/>
      <c r="AE63" s="287"/>
      <c r="AF63" s="287"/>
    </row>
    <row r="64" spans="1:32" s="49" customFormat="1" ht="20.25" customHeight="1" x14ac:dyDescent="0.25">
      <c r="A64" s="671"/>
      <c r="B64" s="296" t="s">
        <v>522</v>
      </c>
      <c r="C64" s="327" t="s">
        <v>525</v>
      </c>
      <c r="D64" s="323">
        <v>164210.5</v>
      </c>
      <c r="E64" s="234">
        <f t="shared" si="36"/>
        <v>76521.490000000005</v>
      </c>
      <c r="F64" s="323">
        <v>87689.01</v>
      </c>
      <c r="G64" s="339">
        <f t="shared" si="22"/>
        <v>0.46599632788402695</v>
      </c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75" t="s">
        <v>469</v>
      </c>
      <c r="AA64" s="76">
        <f>E59</f>
        <v>907148.57000000007</v>
      </c>
      <c r="AB64" s="77">
        <f>AA64/AA65</f>
        <v>0.50924775794360255</v>
      </c>
      <c r="AC64" s="287"/>
      <c r="AD64" s="287"/>
      <c r="AE64" s="287"/>
      <c r="AF64" s="287"/>
    </row>
    <row r="65" spans="1:32" s="49" customFormat="1" ht="20.25" customHeight="1" x14ac:dyDescent="0.25">
      <c r="A65" s="656" t="s">
        <v>476</v>
      </c>
      <c r="B65" s="668"/>
      <c r="C65" s="669"/>
      <c r="D65" s="227">
        <f>SUBTOTAL(109,D66:D67)</f>
        <v>651000</v>
      </c>
      <c r="E65" s="228">
        <f t="shared" ref="E65" si="37">SUBTOTAL(109,E66:E67)</f>
        <v>444610.5</v>
      </c>
      <c r="F65" s="229">
        <f t="shared" ref="F65" si="38">SUBTOTAL(109,F66:F67)</f>
        <v>206389.5</v>
      </c>
      <c r="G65" s="230">
        <f t="shared" si="22"/>
        <v>0.68296543778801844</v>
      </c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75" t="s">
        <v>453</v>
      </c>
      <c r="AA65" s="76">
        <f>D59</f>
        <v>1781350.15</v>
      </c>
      <c r="AB65" s="77">
        <f>100%-AB64</f>
        <v>0.49075224205639745</v>
      </c>
      <c r="AC65" s="287"/>
      <c r="AD65" s="287"/>
      <c r="AE65" s="287"/>
      <c r="AF65" s="287"/>
    </row>
    <row r="66" spans="1:32" s="49" customFormat="1" ht="20.25" customHeight="1" x14ac:dyDescent="0.25">
      <c r="A66" s="670" t="s">
        <v>477</v>
      </c>
      <c r="B66" s="308" t="s">
        <v>522</v>
      </c>
      <c r="C66" s="299" t="s">
        <v>526</v>
      </c>
      <c r="D66" s="324">
        <v>224000</v>
      </c>
      <c r="E66" s="234">
        <f t="shared" ref="E66:E67" si="39">D66-F66</f>
        <v>208271.97</v>
      </c>
      <c r="F66" s="300">
        <v>15728.03</v>
      </c>
      <c r="G66" s="301">
        <f t="shared" si="22"/>
        <v>0.92978558035714287</v>
      </c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78"/>
      <c r="AA66" s="78"/>
      <c r="AB66" s="78"/>
      <c r="AC66" s="287"/>
      <c r="AD66" s="287"/>
      <c r="AE66" s="287"/>
      <c r="AF66" s="287"/>
    </row>
    <row r="67" spans="1:32" s="49" customFormat="1" ht="20.25" customHeight="1" x14ac:dyDescent="0.25">
      <c r="A67" s="671"/>
      <c r="B67" s="288" t="s">
        <v>522</v>
      </c>
      <c r="C67" s="325" t="s">
        <v>527</v>
      </c>
      <c r="D67" s="326">
        <v>427000</v>
      </c>
      <c r="E67" s="234">
        <f t="shared" si="39"/>
        <v>236338.53</v>
      </c>
      <c r="F67" s="234">
        <v>190661.47</v>
      </c>
      <c r="G67" s="237">
        <f t="shared" si="22"/>
        <v>0.55348601873536296</v>
      </c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78"/>
      <c r="AA67" s="78"/>
      <c r="AB67" s="78"/>
      <c r="AC67" s="287"/>
      <c r="AD67" s="287"/>
      <c r="AE67" s="287"/>
      <c r="AF67" s="287"/>
    </row>
    <row r="68" spans="1:32" s="49" customFormat="1" ht="20.25" customHeight="1" x14ac:dyDescent="0.25">
      <c r="A68" s="656" t="s">
        <v>480</v>
      </c>
      <c r="B68" s="658"/>
      <c r="C68" s="680"/>
      <c r="D68" s="329">
        <f>SUBTOTAL(109,D69)</f>
        <v>322426</v>
      </c>
      <c r="E68" s="291">
        <f t="shared" ref="E68" si="40">SUBTOTAL(109,E69)</f>
        <v>89979.38</v>
      </c>
      <c r="F68" s="292">
        <f t="shared" ref="F68" si="41">SUBTOTAL(109,F69)</f>
        <v>232446.62</v>
      </c>
      <c r="G68" s="293">
        <f t="shared" si="22"/>
        <v>0.27906986409284612</v>
      </c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78"/>
      <c r="AA68" s="78"/>
      <c r="AB68" s="78"/>
      <c r="AC68" s="287"/>
      <c r="AD68" s="287"/>
      <c r="AE68" s="287"/>
      <c r="AF68" s="287"/>
    </row>
    <row r="69" spans="1:32" s="49" customFormat="1" ht="20.25" customHeight="1" x14ac:dyDescent="0.25">
      <c r="A69" s="51" t="s">
        <v>481</v>
      </c>
      <c r="B69" s="340" t="s">
        <v>522</v>
      </c>
      <c r="C69" s="341" t="s">
        <v>528</v>
      </c>
      <c r="D69" s="324">
        <v>322426</v>
      </c>
      <c r="E69" s="234">
        <f>D69-F69</f>
        <v>89979.38</v>
      </c>
      <c r="F69" s="300">
        <v>232446.62</v>
      </c>
      <c r="G69" s="301">
        <f t="shared" si="22"/>
        <v>0.27906986409284612</v>
      </c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78"/>
      <c r="AA69" s="78"/>
      <c r="AB69" s="78"/>
      <c r="AC69" s="287"/>
      <c r="AD69" s="287"/>
      <c r="AE69" s="287"/>
      <c r="AF69" s="287"/>
    </row>
    <row r="70" spans="1:32" s="49" customFormat="1" ht="20.25" customHeight="1" x14ac:dyDescent="0.25">
      <c r="A70" s="656" t="s">
        <v>483</v>
      </c>
      <c r="B70" s="675"/>
      <c r="C70" s="682"/>
      <c r="D70" s="227">
        <f>SUBTOTAL(109,D71)</f>
        <v>184650</v>
      </c>
      <c r="E70" s="228">
        <f t="shared" ref="E70" si="42">SUBTOTAL(109,E71)</f>
        <v>64325</v>
      </c>
      <c r="F70" s="229">
        <f t="shared" ref="F70" si="43">SUBTOTAL(109,F71)</f>
        <v>120325</v>
      </c>
      <c r="G70" s="230">
        <f t="shared" si="22"/>
        <v>0.34836176550230163</v>
      </c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78"/>
      <c r="AA70" s="78"/>
      <c r="AB70" s="78"/>
      <c r="AC70" s="287"/>
      <c r="AD70" s="287"/>
      <c r="AE70" s="287"/>
      <c r="AF70" s="287"/>
    </row>
    <row r="71" spans="1:32" s="49" customFormat="1" ht="20.25" customHeight="1" x14ac:dyDescent="0.25">
      <c r="A71" s="50" t="s">
        <v>500</v>
      </c>
      <c r="B71" s="288" t="s">
        <v>522</v>
      </c>
      <c r="C71" s="299" t="s">
        <v>529</v>
      </c>
      <c r="D71" s="326">
        <v>184650</v>
      </c>
      <c r="E71" s="234">
        <f>D71-F71</f>
        <v>64325</v>
      </c>
      <c r="F71" s="234">
        <v>120325</v>
      </c>
      <c r="G71" s="237">
        <f t="shared" si="22"/>
        <v>0.34836176550230163</v>
      </c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78"/>
      <c r="AA71" s="78"/>
      <c r="AB71" s="78"/>
      <c r="AC71" s="287"/>
      <c r="AD71" s="287"/>
      <c r="AE71" s="287"/>
      <c r="AF71" s="287"/>
    </row>
    <row r="72" spans="1:32" s="49" customFormat="1" ht="20.25" customHeight="1" x14ac:dyDescent="0.25">
      <c r="A72" s="665" t="s">
        <v>124</v>
      </c>
      <c r="B72" s="666"/>
      <c r="C72" s="667"/>
      <c r="D72" s="333">
        <f>SUBTOTAL(109,D73:D74)</f>
        <v>737000</v>
      </c>
      <c r="E72" s="314">
        <f>SUBTOTAL(109,E73:E74)</f>
        <v>497875.08</v>
      </c>
      <c r="F72" s="315">
        <f>SUBTOTAL(109,F73:F74)</f>
        <v>239124.91999999998</v>
      </c>
      <c r="G72" s="342">
        <f t="shared" si="22"/>
        <v>0.67554284938941656</v>
      </c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683" t="s">
        <v>467</v>
      </c>
      <c r="AA72" s="683"/>
      <c r="AB72" s="683"/>
      <c r="AC72" s="287"/>
      <c r="AD72" s="287"/>
      <c r="AE72" s="287"/>
      <c r="AF72" s="287"/>
    </row>
    <row r="73" spans="1:32" s="49" customFormat="1" ht="20.25" customHeight="1" x14ac:dyDescent="0.25">
      <c r="A73" s="52" t="s">
        <v>477</v>
      </c>
      <c r="B73" s="343" t="s">
        <v>530</v>
      </c>
      <c r="C73" s="344" t="s">
        <v>531</v>
      </c>
      <c r="D73" s="326">
        <v>415000</v>
      </c>
      <c r="E73" s="234">
        <f t="shared" ref="E73:E74" si="44">D73-F73</f>
        <v>319520.08</v>
      </c>
      <c r="F73" s="234">
        <v>95479.92</v>
      </c>
      <c r="G73" s="237">
        <f t="shared" si="22"/>
        <v>0.76992790361445784</v>
      </c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75" t="s">
        <v>469</v>
      </c>
      <c r="AA73" s="76">
        <f>E72</f>
        <v>497875.08</v>
      </c>
      <c r="AB73" s="77">
        <f>AA73/AA74</f>
        <v>3.7443276406601811E-3</v>
      </c>
      <c r="AC73" s="287"/>
      <c r="AD73" s="287"/>
      <c r="AE73" s="287"/>
      <c r="AF73" s="287"/>
    </row>
    <row r="74" spans="1:32" s="49" customFormat="1" ht="20.25" customHeight="1" x14ac:dyDescent="0.25">
      <c r="A74" s="50" t="s">
        <v>500</v>
      </c>
      <c r="B74" s="231" t="s">
        <v>530</v>
      </c>
      <c r="C74" s="232" t="s">
        <v>532</v>
      </c>
      <c r="D74" s="233">
        <v>322000</v>
      </c>
      <c r="E74" s="234">
        <f t="shared" si="44"/>
        <v>178355</v>
      </c>
      <c r="F74" s="235">
        <v>143645</v>
      </c>
      <c r="G74" s="236">
        <f t="shared" si="22"/>
        <v>0.5538975155279503</v>
      </c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75" t="s">
        <v>472</v>
      </c>
      <c r="AA74" s="76">
        <v>132967819</v>
      </c>
      <c r="AB74" s="77">
        <f>100%-AB73</f>
        <v>0.99625567235933987</v>
      </c>
      <c r="AC74" s="287"/>
      <c r="AD74" s="287"/>
      <c r="AE74" s="287"/>
      <c r="AF74" s="287"/>
    </row>
    <row r="75" spans="1:32" x14ac:dyDescent="0.25">
      <c r="A75" s="262"/>
      <c r="B75" s="263"/>
      <c r="C75" s="262"/>
      <c r="D75" s="262"/>
      <c r="E75" s="262"/>
      <c r="F75" s="262"/>
      <c r="G75" s="262"/>
      <c r="H75" s="262"/>
      <c r="I75" s="262"/>
      <c r="J75" s="262"/>
      <c r="K75" s="262"/>
      <c r="L75" s="262"/>
      <c r="M75" s="262"/>
      <c r="N75" s="262"/>
      <c r="O75" s="262"/>
      <c r="P75" s="262"/>
      <c r="Q75" s="262"/>
      <c r="R75" s="262"/>
      <c r="S75" s="262"/>
      <c r="T75" s="262"/>
      <c r="U75" s="262"/>
      <c r="V75" s="262"/>
      <c r="W75" s="262"/>
      <c r="X75" s="262"/>
      <c r="Y75" s="262"/>
      <c r="Z75" s="75"/>
      <c r="AA75" s="75"/>
      <c r="AB75" s="75"/>
      <c r="AC75" s="262"/>
      <c r="AD75" s="262"/>
      <c r="AE75" s="262"/>
      <c r="AF75" s="262"/>
    </row>
    <row r="76" spans="1:32" x14ac:dyDescent="0.25">
      <c r="A76" s="262"/>
      <c r="B76" s="263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2"/>
      <c r="U76" s="262"/>
      <c r="V76" s="262"/>
      <c r="W76" s="262"/>
      <c r="X76" s="262"/>
      <c r="Y76" s="262"/>
      <c r="Z76" s="683" t="s">
        <v>467</v>
      </c>
      <c r="AA76" s="683"/>
      <c r="AB76" s="683"/>
      <c r="AC76" s="262"/>
      <c r="AD76" s="262"/>
      <c r="AE76" s="262"/>
      <c r="AF76" s="262"/>
    </row>
    <row r="77" spans="1:32" x14ac:dyDescent="0.25">
      <c r="A77" s="262"/>
      <c r="B77" s="263"/>
      <c r="C77" s="262"/>
      <c r="D77" s="262"/>
      <c r="E77" s="345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62"/>
      <c r="Q77" s="262"/>
      <c r="R77" s="262"/>
      <c r="S77" s="262"/>
      <c r="T77" s="262"/>
      <c r="U77" s="262"/>
      <c r="V77" s="262"/>
      <c r="W77" s="262"/>
      <c r="X77" s="262"/>
      <c r="Y77" s="262"/>
      <c r="Z77" s="75" t="s">
        <v>469</v>
      </c>
      <c r="AA77" s="76">
        <f>E72</f>
        <v>497875.08</v>
      </c>
      <c r="AB77" s="77">
        <f>AA77/AA78</f>
        <v>0.67554284938941656</v>
      </c>
      <c r="AC77" s="262"/>
      <c r="AD77" s="262"/>
      <c r="AE77" s="262"/>
      <c r="AF77" s="262"/>
    </row>
    <row r="78" spans="1:32" x14ac:dyDescent="0.25">
      <c r="A78" s="262"/>
      <c r="B78" s="263"/>
      <c r="C78" s="262"/>
      <c r="D78" s="262"/>
      <c r="E78" s="262"/>
      <c r="F78" s="262"/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62"/>
      <c r="R78" s="262"/>
      <c r="S78" s="262"/>
      <c r="T78" s="262"/>
      <c r="U78" s="262"/>
      <c r="V78" s="262"/>
      <c r="W78" s="262"/>
      <c r="X78" s="262"/>
      <c r="Y78" s="262"/>
      <c r="Z78" s="75" t="s">
        <v>453</v>
      </c>
      <c r="AA78" s="76">
        <f>D72</f>
        <v>737000</v>
      </c>
      <c r="AB78" s="77">
        <f>100%-AB77</f>
        <v>0.32445715061058344</v>
      </c>
      <c r="AC78" s="262"/>
      <c r="AD78" s="262"/>
      <c r="AE78" s="262"/>
      <c r="AF78" s="262"/>
    </row>
    <row r="79" spans="1:32" x14ac:dyDescent="0.25">
      <c r="A79" s="262"/>
      <c r="B79" s="263"/>
      <c r="C79" s="262"/>
      <c r="D79" s="262"/>
      <c r="E79" s="262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62"/>
      <c r="Z79" s="72"/>
      <c r="AA79" s="72"/>
      <c r="AB79" s="72"/>
      <c r="AC79" s="262"/>
      <c r="AD79" s="262"/>
      <c r="AE79" s="262"/>
      <c r="AF79" s="262"/>
    </row>
    <row r="80" spans="1:32" x14ac:dyDescent="0.25">
      <c r="A80" s="262"/>
      <c r="B80" s="263"/>
      <c r="C80" s="262"/>
      <c r="D80" s="262"/>
      <c r="E80" s="262"/>
      <c r="F80" s="262"/>
      <c r="G80" s="262"/>
      <c r="H80" s="262"/>
      <c r="I80" s="262"/>
      <c r="J80" s="262"/>
      <c r="K80" s="262"/>
      <c r="L80" s="262"/>
      <c r="M80" s="262"/>
      <c r="N80" s="262"/>
      <c r="O80" s="262"/>
      <c r="P80" s="262"/>
      <c r="Q80" s="262"/>
      <c r="R80" s="262"/>
      <c r="S80" s="262"/>
      <c r="T80" s="262"/>
      <c r="U80" s="262"/>
      <c r="V80" s="262"/>
      <c r="W80" s="262"/>
      <c r="X80" s="262"/>
      <c r="Y80" s="262"/>
      <c r="Z80" s="72"/>
      <c r="AA80" s="72"/>
      <c r="AB80" s="72"/>
      <c r="AC80" s="262"/>
      <c r="AD80" s="262"/>
      <c r="AE80" s="262"/>
      <c r="AF80" s="262"/>
    </row>
    <row r="81" spans="1:32" x14ac:dyDescent="0.25">
      <c r="A81" s="262"/>
      <c r="B81" s="263"/>
      <c r="C81" s="262"/>
      <c r="D81" s="262"/>
      <c r="E81" s="262"/>
      <c r="F81" s="262"/>
      <c r="G81" s="262"/>
      <c r="H81" s="262"/>
      <c r="I81" s="262"/>
      <c r="J81" s="262"/>
      <c r="K81" s="262"/>
      <c r="L81" s="262"/>
      <c r="M81" s="262"/>
      <c r="N81" s="262"/>
      <c r="O81" s="262"/>
      <c r="P81" s="262"/>
      <c r="Q81" s="262"/>
      <c r="R81" s="262"/>
      <c r="S81" s="262"/>
      <c r="T81" s="262"/>
      <c r="U81" s="262"/>
      <c r="V81" s="262"/>
      <c r="W81" s="262"/>
      <c r="X81" s="262"/>
      <c r="Y81" s="262"/>
      <c r="Z81" s="72"/>
      <c r="AA81" s="72"/>
      <c r="AB81" s="72"/>
      <c r="AC81" s="262"/>
      <c r="AD81" s="262"/>
      <c r="AE81" s="262"/>
      <c r="AF81" s="262"/>
    </row>
    <row r="82" spans="1:32" x14ac:dyDescent="0.25">
      <c r="A82" s="262"/>
      <c r="B82" s="263"/>
      <c r="C82" s="262"/>
      <c r="D82" s="262"/>
      <c r="E82" s="262"/>
      <c r="F82" s="262"/>
      <c r="G82" s="262"/>
      <c r="H82" s="262"/>
      <c r="I82" s="262"/>
      <c r="J82" s="262"/>
      <c r="K82" s="262"/>
      <c r="L82" s="262"/>
      <c r="M82" s="262"/>
      <c r="N82" s="262"/>
      <c r="O82" s="262"/>
      <c r="P82" s="262"/>
      <c r="Q82" s="262"/>
      <c r="R82" s="262"/>
      <c r="S82" s="262"/>
      <c r="T82" s="262"/>
      <c r="U82" s="262"/>
      <c r="V82" s="262"/>
      <c r="W82" s="262"/>
      <c r="X82" s="262"/>
      <c r="Y82" s="262"/>
      <c r="Z82" s="72"/>
      <c r="AA82" s="72"/>
      <c r="AB82" s="72"/>
      <c r="AC82" s="262"/>
      <c r="AD82" s="262"/>
      <c r="AE82" s="262"/>
      <c r="AF82" s="262"/>
    </row>
    <row r="83" spans="1:32" x14ac:dyDescent="0.25">
      <c r="A83" s="262"/>
      <c r="B83" s="263"/>
      <c r="C83" s="262"/>
      <c r="D83" s="262"/>
      <c r="E83" s="262"/>
      <c r="F83" s="262"/>
      <c r="G83" s="262"/>
      <c r="H83" s="262"/>
      <c r="I83" s="262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72"/>
      <c r="AA83" s="72"/>
      <c r="AB83" s="72"/>
      <c r="AC83" s="262"/>
      <c r="AD83" s="262"/>
      <c r="AE83" s="262"/>
      <c r="AF83" s="262"/>
    </row>
    <row r="84" spans="1:32" x14ac:dyDescent="0.25">
      <c r="A84" s="262"/>
      <c r="B84" s="263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62"/>
      <c r="Q84" s="262"/>
      <c r="R84" s="262"/>
      <c r="S84" s="262"/>
      <c r="T84" s="262"/>
      <c r="U84" s="262"/>
      <c r="V84" s="262"/>
      <c r="W84" s="262"/>
      <c r="X84" s="262"/>
      <c r="Y84" s="262"/>
      <c r="Z84" s="72"/>
      <c r="AA84" s="72"/>
      <c r="AB84" s="72"/>
      <c r="AC84" s="262"/>
      <c r="AD84" s="262"/>
      <c r="AE84" s="262"/>
      <c r="AF84" s="262"/>
    </row>
    <row r="85" spans="1:32" x14ac:dyDescent="0.25">
      <c r="A85" s="262"/>
      <c r="B85" s="263"/>
      <c r="C85" s="262"/>
      <c r="D85" s="262"/>
      <c r="E85" s="262"/>
      <c r="F85" s="262"/>
      <c r="G85" s="262"/>
      <c r="H85" s="262"/>
      <c r="I85" s="262"/>
      <c r="J85" s="262"/>
      <c r="K85" s="262"/>
      <c r="L85" s="262"/>
      <c r="M85" s="262"/>
      <c r="N85" s="262"/>
      <c r="O85" s="262"/>
      <c r="P85" s="262"/>
      <c r="Q85" s="262"/>
      <c r="R85" s="262"/>
      <c r="S85" s="262"/>
      <c r="T85" s="262"/>
      <c r="U85" s="262"/>
      <c r="V85" s="262"/>
      <c r="W85" s="262"/>
      <c r="X85" s="262"/>
      <c r="Y85" s="262"/>
      <c r="Z85" s="72"/>
      <c r="AA85" s="72"/>
      <c r="AB85" s="72"/>
      <c r="AC85" s="262"/>
      <c r="AD85" s="262"/>
      <c r="AE85" s="262"/>
      <c r="AF85" s="262"/>
    </row>
    <row r="86" spans="1:32" x14ac:dyDescent="0.25">
      <c r="A86" s="266"/>
      <c r="B86" s="265"/>
      <c r="C86" s="266"/>
      <c r="D86" s="266"/>
      <c r="E86" s="266"/>
      <c r="F86" s="266"/>
      <c r="G86" s="262"/>
      <c r="H86" s="262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  <c r="AC86" s="266"/>
      <c r="AD86" s="266"/>
      <c r="AE86" s="266"/>
      <c r="AF86" s="266"/>
    </row>
  </sheetData>
  <mergeCells count="48">
    <mergeCell ref="E2:G2"/>
    <mergeCell ref="Z40:AB40"/>
    <mergeCell ref="Z59:AB59"/>
    <mergeCell ref="Z63:AB63"/>
    <mergeCell ref="Z72:AB72"/>
    <mergeCell ref="Z76:AB76"/>
    <mergeCell ref="Z7:AB7"/>
    <mergeCell ref="Z11:AB11"/>
    <mergeCell ref="Z24:AB24"/>
    <mergeCell ref="Z28:AB28"/>
    <mergeCell ref="Z36:AB36"/>
    <mergeCell ref="A72:C72"/>
    <mergeCell ref="A68:C68"/>
    <mergeCell ref="A70:C70"/>
    <mergeCell ref="A8:C8"/>
    <mergeCell ref="A10:C10"/>
    <mergeCell ref="A12:C12"/>
    <mergeCell ref="A13:A14"/>
    <mergeCell ref="A17:C17"/>
    <mergeCell ref="A20:C20"/>
    <mergeCell ref="A22:C22"/>
    <mergeCell ref="A15:C15"/>
    <mergeCell ref="A30:A31"/>
    <mergeCell ref="A29:C29"/>
    <mergeCell ref="A25:C25"/>
    <mergeCell ref="A27:C27"/>
    <mergeCell ref="A60:C60"/>
    <mergeCell ref="A62:C62"/>
    <mergeCell ref="A66:A67"/>
    <mergeCell ref="A37:C37"/>
    <mergeCell ref="A38:A40"/>
    <mergeCell ref="A41:C41"/>
    <mergeCell ref="A42:A44"/>
    <mergeCell ref="A59:C59"/>
    <mergeCell ref="A56:A58"/>
    <mergeCell ref="A45:C45"/>
    <mergeCell ref="A51:C51"/>
    <mergeCell ref="A55:C55"/>
    <mergeCell ref="A65:C65"/>
    <mergeCell ref="A63:A64"/>
    <mergeCell ref="A32:C32"/>
    <mergeCell ref="A34:C34"/>
    <mergeCell ref="A52:A54"/>
    <mergeCell ref="A46:A50"/>
    <mergeCell ref="A5:C5"/>
    <mergeCell ref="A7:C7"/>
    <mergeCell ref="A24:C24"/>
    <mergeCell ref="A36:C3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2F7C-B9B9-4A78-8E72-61A88AF442D9}">
  <dimension ref="A1:A3"/>
  <sheetViews>
    <sheetView workbookViewId="0"/>
  </sheetViews>
  <sheetFormatPr defaultRowHeight="15" x14ac:dyDescent="0.25"/>
  <sheetData>
    <row r="1" spans="1:1" x14ac:dyDescent="0.25">
      <c r="A1" s="80" t="s">
        <v>533</v>
      </c>
    </row>
    <row r="2" spans="1:1" x14ac:dyDescent="0.25">
      <c r="A2" s="80" t="s">
        <v>534</v>
      </c>
    </row>
    <row r="3" spans="1:1" x14ac:dyDescent="0.25">
      <c r="A3" s="80" t="s">
        <v>535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21F2-E30E-4A1E-A826-06D26DB65291}">
  <sheetPr>
    <pageSetUpPr fitToPage="1"/>
  </sheetPr>
  <dimension ref="A1:V19"/>
  <sheetViews>
    <sheetView workbookViewId="0">
      <pane xSplit="2" ySplit="2" topLeftCell="C3" activePane="bottomRight" state="frozen"/>
      <selection pane="topRight"/>
      <selection pane="bottomLeft"/>
      <selection pane="bottomRight" activeCell="O7" sqref="O7"/>
    </sheetView>
  </sheetViews>
  <sheetFormatPr defaultColWidth="8.7109375" defaultRowHeight="26.25" customHeight="1" x14ac:dyDescent="0.4"/>
  <cols>
    <col min="1" max="1" width="8.7109375" style="14"/>
    <col min="2" max="2" width="8.85546875" style="12" bestFit="1" customWidth="1"/>
    <col min="3" max="3" width="13.140625" style="7" customWidth="1"/>
    <col min="4" max="4" width="22.28515625" style="7" customWidth="1"/>
    <col min="5" max="5" width="29.28515625" style="4" customWidth="1"/>
    <col min="6" max="6" width="33.42578125" style="7" customWidth="1"/>
    <col min="7" max="7" width="12.28515625" style="4" customWidth="1"/>
    <col min="8" max="8" width="20.42578125" style="7" customWidth="1"/>
    <col min="9" max="9" width="14.42578125" style="4" bestFit="1" customWidth="1"/>
    <col min="10" max="10" width="12.42578125" style="4" customWidth="1"/>
    <col min="11" max="11" width="12.5703125" style="4" customWidth="1"/>
    <col min="12" max="12" width="17.42578125" style="10" customWidth="1"/>
    <col min="13" max="13" width="15.85546875" style="4" customWidth="1"/>
    <col min="14" max="15" width="15.140625" style="4" customWidth="1"/>
    <col min="16" max="16" width="23.28515625" style="4" customWidth="1"/>
    <col min="17" max="17" width="18" style="4" customWidth="1"/>
    <col min="18" max="18" width="25.42578125" style="4" customWidth="1"/>
    <col min="19" max="19" width="21.85546875" style="4" bestFit="1" customWidth="1"/>
    <col min="20" max="20" width="12.7109375" style="4" bestFit="1" customWidth="1"/>
    <col min="21" max="21" width="9" style="4" bestFit="1" customWidth="1"/>
    <col min="22" max="16384" width="8.7109375" style="4"/>
  </cols>
  <sheetData>
    <row r="1" spans="1:22" ht="20.45" customHeight="1" x14ac:dyDescent="0.2">
      <c r="A1" s="610" t="s">
        <v>536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3"/>
    </row>
    <row r="2" spans="1:22" s="7" customFormat="1" ht="30.95" customHeight="1" x14ac:dyDescent="0.2">
      <c r="A2" s="159" t="s">
        <v>1</v>
      </c>
      <c r="B2" s="160" t="s">
        <v>3</v>
      </c>
      <c r="C2" s="159" t="s">
        <v>143</v>
      </c>
      <c r="D2" s="159" t="s">
        <v>144</v>
      </c>
      <c r="E2" s="161" t="s">
        <v>4</v>
      </c>
      <c r="F2" s="161" t="s">
        <v>145</v>
      </c>
      <c r="G2" s="161" t="s">
        <v>146</v>
      </c>
      <c r="H2" s="161" t="s">
        <v>147</v>
      </c>
      <c r="I2" s="161" t="s">
        <v>148</v>
      </c>
      <c r="J2" s="161" t="s">
        <v>149</v>
      </c>
      <c r="K2" s="161" t="s">
        <v>150</v>
      </c>
      <c r="L2" s="162" t="s">
        <v>151</v>
      </c>
      <c r="M2" s="163" t="s">
        <v>81</v>
      </c>
      <c r="N2" s="163" t="s">
        <v>82</v>
      </c>
      <c r="O2" s="163" t="s">
        <v>83</v>
      </c>
      <c r="P2" s="159" t="s">
        <v>152</v>
      </c>
      <c r="Q2" s="512" t="s">
        <v>166</v>
      </c>
      <c r="R2" s="170" t="s">
        <v>11</v>
      </c>
      <c r="S2" s="170" t="s">
        <v>167</v>
      </c>
      <c r="T2" s="124"/>
    </row>
    <row r="3" spans="1:22" ht="63" customHeight="1" x14ac:dyDescent="0.2">
      <c r="A3" s="609" t="s">
        <v>124</v>
      </c>
      <c r="B3" s="252" t="s">
        <v>14</v>
      </c>
      <c r="C3" s="171" t="s">
        <v>269</v>
      </c>
      <c r="D3" s="164" t="s">
        <v>16</v>
      </c>
      <c r="E3" s="172" t="s">
        <v>168</v>
      </c>
      <c r="F3" s="164"/>
      <c r="G3" s="166"/>
      <c r="H3" s="164"/>
      <c r="I3" s="173"/>
      <c r="J3" s="164"/>
      <c r="K3" s="173"/>
      <c r="L3" s="167">
        <v>1853476</v>
      </c>
      <c r="M3" s="167">
        <v>1389048.88</v>
      </c>
      <c r="N3" s="167">
        <v>1173132.53</v>
      </c>
      <c r="O3" s="167">
        <v>1173132.53</v>
      </c>
      <c r="P3" s="164" t="s">
        <v>165</v>
      </c>
      <c r="Q3" s="445" t="s">
        <v>170</v>
      </c>
      <c r="R3" s="248"/>
      <c r="S3" s="248"/>
      <c r="T3" s="249"/>
      <c r="U3" s="82"/>
      <c r="V3" s="82"/>
    </row>
    <row r="4" spans="1:22" ht="38.25" customHeight="1" x14ac:dyDescent="0.2">
      <c r="A4" s="609"/>
      <c r="B4" s="252"/>
      <c r="C4" s="171"/>
      <c r="D4" s="164"/>
      <c r="E4" s="172"/>
      <c r="F4" s="164"/>
      <c r="G4" s="166"/>
      <c r="H4" s="164"/>
      <c r="I4" s="173"/>
      <c r="J4" s="164"/>
      <c r="K4" s="173"/>
      <c r="L4" s="174"/>
      <c r="M4" s="167"/>
      <c r="N4" s="167"/>
      <c r="O4" s="167"/>
      <c r="P4" s="164"/>
      <c r="Q4" s="445" t="s">
        <v>170</v>
      </c>
      <c r="R4" s="248"/>
      <c r="S4" s="248"/>
      <c r="T4" s="250"/>
      <c r="U4" s="82"/>
      <c r="V4" s="82"/>
    </row>
    <row r="5" spans="1:22" ht="35.25" customHeight="1" x14ac:dyDescent="0.2">
      <c r="A5" s="609"/>
      <c r="B5" s="252"/>
      <c r="C5" s="171"/>
      <c r="D5" s="164"/>
      <c r="E5" s="172"/>
      <c r="F5" s="164"/>
      <c r="G5" s="166"/>
      <c r="H5" s="164"/>
      <c r="I5" s="173"/>
      <c r="J5" s="164"/>
      <c r="K5" s="173"/>
      <c r="L5" s="174"/>
      <c r="M5" s="167"/>
      <c r="N5" s="167"/>
      <c r="O5" s="167"/>
      <c r="P5" s="164"/>
      <c r="Q5" s="445" t="s">
        <v>170</v>
      </c>
      <c r="R5" s="248"/>
      <c r="S5" s="248"/>
      <c r="T5" s="251"/>
      <c r="U5" s="69"/>
    </row>
    <row r="6" spans="1:22" ht="33.75" customHeight="1" x14ac:dyDescent="0.2">
      <c r="A6" s="609"/>
      <c r="B6" s="252"/>
      <c r="C6" s="171"/>
      <c r="D6" s="164"/>
      <c r="E6" s="172"/>
      <c r="F6" s="164"/>
      <c r="G6" s="166"/>
      <c r="H6" s="164"/>
      <c r="I6" s="173"/>
      <c r="J6" s="164"/>
      <c r="K6" s="173"/>
      <c r="L6" s="174"/>
      <c r="M6" s="167"/>
      <c r="N6" s="167"/>
      <c r="O6" s="167"/>
      <c r="P6" s="164"/>
      <c r="Q6" s="445" t="s">
        <v>170</v>
      </c>
      <c r="R6" s="248"/>
      <c r="S6" s="248"/>
      <c r="T6" s="251"/>
      <c r="U6" s="69"/>
    </row>
    <row r="7" spans="1:22" ht="44.25" customHeight="1" x14ac:dyDescent="0.2">
      <c r="A7" s="609"/>
      <c r="B7" s="252"/>
      <c r="C7" s="171"/>
      <c r="D7" s="164"/>
      <c r="E7" s="172"/>
      <c r="F7" s="164"/>
      <c r="G7" s="166"/>
      <c r="H7" s="164"/>
      <c r="I7" s="164"/>
      <c r="J7" s="164"/>
      <c r="K7" s="164"/>
      <c r="L7" s="174"/>
      <c r="M7" s="167"/>
      <c r="N7" s="167"/>
      <c r="O7" s="167"/>
      <c r="P7" s="164"/>
      <c r="Q7" s="445" t="s">
        <v>170</v>
      </c>
      <c r="R7" s="248"/>
      <c r="S7" s="248"/>
      <c r="T7" s="251"/>
      <c r="U7" s="69"/>
    </row>
    <row r="8" spans="1:22" ht="45" customHeight="1" x14ac:dyDescent="0.2">
      <c r="A8" s="609"/>
      <c r="B8" s="252"/>
      <c r="C8" s="171"/>
      <c r="D8" s="164"/>
      <c r="E8" s="172"/>
      <c r="F8" s="164"/>
      <c r="G8" s="166"/>
      <c r="H8" s="164"/>
      <c r="I8" s="164"/>
      <c r="J8" s="164"/>
      <c r="K8" s="164"/>
      <c r="L8" s="174"/>
      <c r="M8" s="167"/>
      <c r="N8" s="167"/>
      <c r="O8" s="167"/>
      <c r="P8" s="164"/>
      <c r="Q8" s="445" t="s">
        <v>170</v>
      </c>
      <c r="R8" s="248"/>
      <c r="S8" s="248"/>
      <c r="T8" s="251"/>
      <c r="U8" s="69"/>
    </row>
    <row r="9" spans="1:22" ht="47.25" customHeight="1" x14ac:dyDescent="0.2">
      <c r="A9" s="609"/>
      <c r="B9" s="252"/>
      <c r="C9" s="171"/>
      <c r="D9" s="164"/>
      <c r="E9" s="172"/>
      <c r="F9" s="164"/>
      <c r="G9" s="166"/>
      <c r="H9" s="164"/>
      <c r="I9" s="173"/>
      <c r="J9" s="164"/>
      <c r="K9" s="164"/>
      <c r="L9" s="174"/>
      <c r="M9" s="167"/>
      <c r="N9" s="167"/>
      <c r="O9" s="167"/>
      <c r="P9" s="164"/>
      <c r="Q9" s="445" t="s">
        <v>170</v>
      </c>
      <c r="R9" s="248"/>
      <c r="S9" s="248"/>
      <c r="T9" s="251"/>
      <c r="U9" s="69"/>
    </row>
    <row r="10" spans="1:22" ht="47.25" customHeight="1" x14ac:dyDescent="0.2">
      <c r="A10" s="609"/>
      <c r="B10" s="252"/>
      <c r="C10" s="171"/>
      <c r="D10" s="164"/>
      <c r="E10" s="172"/>
      <c r="F10" s="164"/>
      <c r="G10" s="166"/>
      <c r="H10" s="164"/>
      <c r="I10" s="173"/>
      <c r="J10" s="164"/>
      <c r="K10" s="164"/>
      <c r="L10" s="174"/>
      <c r="M10" s="167"/>
      <c r="N10" s="167"/>
      <c r="O10" s="167"/>
      <c r="P10" s="164"/>
      <c r="Q10" s="445" t="s">
        <v>170</v>
      </c>
      <c r="R10" s="248"/>
      <c r="S10" s="248"/>
      <c r="T10" s="251"/>
      <c r="U10" s="69"/>
    </row>
    <row r="11" spans="1:22" ht="15" x14ac:dyDescent="0.2">
      <c r="A11" s="609"/>
      <c r="B11" s="252"/>
      <c r="C11" s="171"/>
      <c r="D11" s="164"/>
      <c r="E11" s="172"/>
      <c r="F11" s="173"/>
      <c r="G11" s="166"/>
      <c r="H11" s="164"/>
      <c r="I11" s="164"/>
      <c r="J11" s="164"/>
      <c r="K11" s="164"/>
      <c r="L11" s="167"/>
      <c r="M11" s="167"/>
      <c r="N11" s="167"/>
      <c r="O11" s="167"/>
      <c r="P11" s="164"/>
      <c r="Q11" s="445" t="s">
        <v>170</v>
      </c>
      <c r="R11" s="248"/>
      <c r="S11" s="248"/>
      <c r="T11" s="251"/>
      <c r="U11" s="69"/>
    </row>
    <row r="12" spans="1:22" ht="15" x14ac:dyDescent="0.2">
      <c r="A12" s="609"/>
      <c r="B12" s="252"/>
      <c r="C12" s="171"/>
      <c r="D12" s="164"/>
      <c r="E12" s="172"/>
      <c r="F12" s="173"/>
      <c r="G12" s="166"/>
      <c r="H12" s="164"/>
      <c r="I12" s="164"/>
      <c r="J12" s="164"/>
      <c r="K12" s="164"/>
      <c r="L12" s="167"/>
      <c r="M12" s="167"/>
      <c r="N12" s="167"/>
      <c r="O12" s="167"/>
      <c r="P12" s="164"/>
      <c r="Q12" s="445" t="s">
        <v>170</v>
      </c>
      <c r="R12" s="248"/>
      <c r="S12" s="248"/>
      <c r="T12" s="251"/>
      <c r="U12" s="69"/>
    </row>
    <row r="13" spans="1:22" ht="15" x14ac:dyDescent="0.2">
      <c r="A13" s="609"/>
      <c r="B13" s="252"/>
      <c r="C13" s="171"/>
      <c r="D13" s="164"/>
      <c r="E13" s="172"/>
      <c r="F13" s="173"/>
      <c r="G13" s="166"/>
      <c r="H13" s="164"/>
      <c r="I13" s="164"/>
      <c r="J13" s="164"/>
      <c r="K13" s="164"/>
      <c r="L13" s="174"/>
      <c r="M13" s="174"/>
      <c r="N13" s="174"/>
      <c r="O13" s="174"/>
      <c r="P13" s="164"/>
      <c r="Q13" s="445" t="s">
        <v>170</v>
      </c>
      <c r="R13" s="248"/>
      <c r="S13" s="248"/>
      <c r="T13" s="251"/>
      <c r="U13" s="69"/>
    </row>
    <row r="14" spans="1:22" ht="15" x14ac:dyDescent="0.2">
      <c r="A14" s="609"/>
      <c r="B14" s="252"/>
      <c r="C14" s="171"/>
      <c r="D14" s="164"/>
      <c r="E14" s="172"/>
      <c r="F14" s="173"/>
      <c r="G14" s="166"/>
      <c r="H14" s="164"/>
      <c r="I14" s="164"/>
      <c r="J14" s="164"/>
      <c r="K14" s="164"/>
      <c r="L14" s="174"/>
      <c r="M14" s="174"/>
      <c r="N14" s="174"/>
      <c r="O14" s="174"/>
      <c r="P14" s="164"/>
      <c r="Q14" s="445" t="s">
        <v>170</v>
      </c>
      <c r="R14" s="248"/>
      <c r="S14" s="248"/>
      <c r="T14" s="251"/>
      <c r="U14" s="69"/>
    </row>
    <row r="15" spans="1:22" ht="15" x14ac:dyDescent="0.2">
      <c r="A15" s="609"/>
      <c r="B15" s="252"/>
      <c r="C15" s="171"/>
      <c r="D15" s="164"/>
      <c r="E15" s="172"/>
      <c r="F15" s="173"/>
      <c r="G15" s="166"/>
      <c r="H15" s="164"/>
      <c r="I15" s="164"/>
      <c r="J15" s="164"/>
      <c r="K15" s="164"/>
      <c r="L15" s="167"/>
      <c r="M15" s="167"/>
      <c r="N15" s="167"/>
      <c r="O15" s="167"/>
      <c r="P15" s="164"/>
      <c r="Q15" s="445" t="s">
        <v>170</v>
      </c>
      <c r="R15" s="248"/>
      <c r="S15" s="248"/>
      <c r="T15" s="251"/>
      <c r="U15" s="82"/>
      <c r="V15" s="82"/>
    </row>
    <row r="16" spans="1:22" ht="15" x14ac:dyDescent="0.2">
      <c r="A16" s="609"/>
      <c r="B16" s="252"/>
      <c r="C16" s="171"/>
      <c r="D16" s="164"/>
      <c r="E16" s="172"/>
      <c r="F16" s="164"/>
      <c r="G16" s="166"/>
      <c r="H16" s="164"/>
      <c r="I16" s="164"/>
      <c r="J16" s="164"/>
      <c r="K16" s="164"/>
      <c r="L16" s="175"/>
      <c r="M16" s="167"/>
      <c r="N16" s="167"/>
      <c r="O16" s="167"/>
      <c r="P16" s="164"/>
      <c r="Q16" s="445" t="s">
        <v>170</v>
      </c>
      <c r="R16" s="172"/>
      <c r="S16" s="172"/>
      <c r="T16" s="251"/>
    </row>
    <row r="17" spans="1:20" ht="15.75" customHeight="1" x14ac:dyDescent="0.2">
      <c r="A17" s="609"/>
      <c r="B17" s="611"/>
      <c r="C17" s="611"/>
      <c r="D17" s="611"/>
      <c r="E17" s="611"/>
      <c r="F17" s="611"/>
      <c r="G17" s="612" t="s">
        <v>50</v>
      </c>
      <c r="H17" s="612"/>
      <c r="I17" s="612"/>
      <c r="J17" s="612"/>
      <c r="K17" s="612"/>
      <c r="L17" s="168">
        <f>SUM(L3:L16)</f>
        <v>1853476</v>
      </c>
      <c r="M17" s="169">
        <f>SUM(M3:M16)</f>
        <v>1389048.88</v>
      </c>
      <c r="N17" s="169">
        <f>SUM(N3:N16)</f>
        <v>1173132.53</v>
      </c>
      <c r="O17" s="169">
        <f>SUM(O3:O16)</f>
        <v>1173132.53</v>
      </c>
      <c r="P17" s="613"/>
      <c r="Q17" s="613"/>
      <c r="R17" s="613"/>
      <c r="S17" s="613"/>
      <c r="T17" s="3"/>
    </row>
    <row r="18" spans="1:20" ht="15.75" customHeight="1" x14ac:dyDescent="0.2">
      <c r="A18" s="609"/>
      <c r="B18" s="611"/>
      <c r="C18" s="611"/>
      <c r="D18" s="611"/>
      <c r="E18" s="611"/>
      <c r="F18" s="611"/>
      <c r="G18" s="616" t="s">
        <v>160</v>
      </c>
      <c r="H18" s="612"/>
      <c r="I18" s="612"/>
      <c r="J18" s="612"/>
      <c r="K18" s="612"/>
      <c r="L18" s="614">
        <f>'Consolidado 2026'!H41</f>
        <v>2253476</v>
      </c>
      <c r="M18" s="614"/>
      <c r="N18" s="614"/>
      <c r="O18" s="614"/>
      <c r="P18" s="613"/>
      <c r="Q18" s="613"/>
      <c r="R18" s="613"/>
      <c r="S18" s="613"/>
      <c r="T18" s="3"/>
    </row>
    <row r="19" spans="1:20" ht="18.75" customHeight="1" x14ac:dyDescent="0.2">
      <c r="A19" s="609"/>
      <c r="B19" s="611"/>
      <c r="C19" s="611"/>
      <c r="D19" s="611"/>
      <c r="E19" s="611"/>
      <c r="F19" s="611"/>
      <c r="G19" s="612" t="s">
        <v>161</v>
      </c>
      <c r="H19" s="612"/>
      <c r="I19" s="612"/>
      <c r="J19" s="612"/>
      <c r="K19" s="612"/>
      <c r="L19" s="615">
        <f>L17/L18</f>
        <v>0.82249644549132095</v>
      </c>
      <c r="M19" s="615"/>
      <c r="N19" s="615"/>
      <c r="O19" s="615"/>
      <c r="P19" s="613"/>
      <c r="Q19" s="613"/>
      <c r="R19" s="613"/>
      <c r="S19" s="613"/>
      <c r="T19" s="3"/>
    </row>
  </sheetData>
  <autoFilter ref="A2:S2" xr:uid="{A68F21F2-E30E-4A1E-A826-06D26DB65291}"/>
  <mergeCells count="9">
    <mergeCell ref="P17:S19"/>
    <mergeCell ref="A1:S1"/>
    <mergeCell ref="A3:A19"/>
    <mergeCell ref="B17:F19"/>
    <mergeCell ref="G17:K17"/>
    <mergeCell ref="G18:K18"/>
    <mergeCell ref="L18:O18"/>
    <mergeCell ref="G19:K19"/>
    <mergeCell ref="L19:O19"/>
  </mergeCells>
  <dataValidations count="5">
    <dataValidation type="list" allowBlank="1" showInputMessage="1" showErrorMessage="1" sqref="B1:B2 B17:B1048576" xr:uid="{7121F835-C916-43C3-AEFB-7B45921BED25}">
      <formula1>"0001,0002"</formula1>
    </dataValidation>
    <dataValidation type="list" allowBlank="1" showInputMessage="1" showErrorMessage="1" sqref="C1:C1048576" xr:uid="{60BA79CE-C1E0-4897-AB2B-8E72DF5AF4CC}">
      <formula1>"2024,2025,2026"</formula1>
    </dataValidation>
    <dataValidation type="list" allowBlank="1" showInputMessage="1" showErrorMessage="1" sqref="D1:D1048576" xr:uid="{2406BE53-2835-4D28-B569-E64BF420F108}">
      <formula1>"Despesas correntes,Investimento"</formula1>
    </dataValidation>
    <dataValidation type="list" allowBlank="1" showInputMessage="1" showErrorMessage="1" sqref="B3:B16" xr:uid="{B29D8975-788B-40CE-80B0-1D9272277535}">
      <formula1>"0000"</formula1>
    </dataValidation>
    <dataValidation allowBlank="1" showInputMessage="1" showErrorMessage="1" sqref="Q2" xr:uid="{6A676F90-FA1D-420A-8DAD-61F3AD78521C}"/>
  </dataValidations>
  <pageMargins left="0.511811024" right="0.511811024" top="0.78740157499999996" bottom="0.78740157499999996" header="0.31496062000000002" footer="0.31496062000000002"/>
  <pageSetup paperSize="8" scale="56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3" operator="containsText" id="{6CF3FD3F-9FF6-4CDC-BDD8-C0B7926DF051}">
            <xm:f>NOT(ISERROR(SEARCH(Planilha1!$B$9,P3)))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254" operator="containsText" id="{78BCBFE9-A6D0-4245-A65E-36CC590590BC}">
            <xm:f>NOT(ISERROR(SEARCH(Planilha1!$B$8,P3)))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255" operator="containsText" id="{146F3BE7-207E-40F2-8503-B71BF5EA78FF}">
            <xm:f>NOT(ISERROR(SEARCH(Planilha1!$B$6,P3)))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58" operator="containsText" id="{8DF6801F-184F-45B0-A440-A6BA5C5C6821}">
            <xm:f>NOT(ISERROR(SEARCH(Planilha1!$B$4,P3)))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259" operator="containsText" id="{ED2E0172-47C7-49E2-823B-127E84E0F2CA}">
            <xm:f>NOT(ISERROR(SEARCH(Planilha1!$B$5,P3)))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P3:P16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EA325D-B677-4745-B056-C6780913C3DB}">
          <x14:formula1>
            <xm:f>Planilha1!$B$4:$B$9</xm:f>
          </x14:formula1>
          <xm:sqref>P3:P16</xm:sqref>
        </x14:dataValidation>
        <x14:dataValidation type="list" allowBlank="1" showInputMessage="1" showErrorMessage="1" xr:uid="{E85B7B8E-CF23-418C-A673-B24A1765917F}">
          <x14:formula1>
            <xm:f>Planilha1!$D$3:$D$10</xm:f>
          </x14:formula1>
          <xm:sqref>Q3:Q16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94AD-0FA3-46C0-B914-726C755BAFBA}">
  <sheetPr>
    <pageSetUpPr fitToPage="1"/>
  </sheetPr>
  <dimension ref="A1:V29"/>
  <sheetViews>
    <sheetView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M22" sqref="M22"/>
    </sheetView>
  </sheetViews>
  <sheetFormatPr defaultColWidth="8.7109375" defaultRowHeight="26.25" customHeight="1" x14ac:dyDescent="0.4"/>
  <cols>
    <col min="1" max="1" width="8.7109375" style="380"/>
    <col min="2" max="2" width="15.140625" style="381" customWidth="1"/>
    <col min="3" max="3" width="14.7109375" style="382" bestFit="1" customWidth="1"/>
    <col min="4" max="4" width="13.28515625" style="382" bestFit="1" customWidth="1"/>
    <col min="5" max="5" width="41.42578125" style="43" customWidth="1"/>
    <col min="6" max="6" width="24.42578125" style="382" customWidth="1"/>
    <col min="7" max="7" width="13.42578125" style="43" bestFit="1" customWidth="1"/>
    <col min="8" max="8" width="19.85546875" style="382" bestFit="1" customWidth="1"/>
    <col min="9" max="9" width="12.140625" style="43" bestFit="1" customWidth="1"/>
    <col min="10" max="10" width="10" style="43" customWidth="1"/>
    <col min="11" max="11" width="12.7109375" style="43" customWidth="1"/>
    <col min="12" max="12" width="16.85546875" style="383" bestFit="1" customWidth="1"/>
    <col min="13" max="13" width="15.140625" style="43" bestFit="1" customWidth="1"/>
    <col min="14" max="15" width="15.140625" style="43" customWidth="1"/>
    <col min="16" max="16" width="23.28515625" style="43" customWidth="1"/>
    <col min="17" max="17" width="18" style="43" customWidth="1"/>
    <col min="18" max="18" width="27.42578125" style="43" customWidth="1"/>
    <col min="19" max="19" width="39.5703125" style="43" customWidth="1"/>
    <col min="20" max="20" width="16.85546875" style="4" customWidth="1"/>
    <col min="21" max="21" width="9" style="4" bestFit="1" customWidth="1"/>
    <col min="22" max="16384" width="8.7109375" style="4"/>
  </cols>
  <sheetData>
    <row r="1" spans="1:22" ht="20.45" customHeight="1" x14ac:dyDescent="0.2">
      <c r="A1" s="685" t="s">
        <v>536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3"/>
    </row>
    <row r="2" spans="1:22" s="7" customFormat="1" ht="30.95" customHeight="1" x14ac:dyDescent="0.2">
      <c r="A2" s="159" t="s">
        <v>1</v>
      </c>
      <c r="B2" s="160" t="s">
        <v>3</v>
      </c>
      <c r="C2" s="466" t="s">
        <v>143</v>
      </c>
      <c r="D2" s="159" t="s">
        <v>144</v>
      </c>
      <c r="E2" s="161" t="s">
        <v>4</v>
      </c>
      <c r="F2" s="161" t="s">
        <v>145</v>
      </c>
      <c r="G2" s="161" t="s">
        <v>146</v>
      </c>
      <c r="H2" s="161" t="s">
        <v>147</v>
      </c>
      <c r="I2" s="467" t="s">
        <v>148</v>
      </c>
      <c r="J2" s="161" t="s">
        <v>149</v>
      </c>
      <c r="K2" s="161" t="s">
        <v>150</v>
      </c>
      <c r="L2" s="162" t="s">
        <v>151</v>
      </c>
      <c r="M2" s="163" t="s">
        <v>81</v>
      </c>
      <c r="N2" s="163" t="s">
        <v>82</v>
      </c>
      <c r="O2" s="163" t="s">
        <v>83</v>
      </c>
      <c r="P2" s="159" t="s">
        <v>152</v>
      </c>
      <c r="Q2" s="512" t="s">
        <v>166</v>
      </c>
      <c r="R2" s="466" t="s">
        <v>11</v>
      </c>
      <c r="S2" s="159" t="s">
        <v>167</v>
      </c>
      <c r="T2" s="124"/>
    </row>
    <row r="3" spans="1:22" ht="24" x14ac:dyDescent="0.2">
      <c r="A3" s="609" t="s">
        <v>94</v>
      </c>
      <c r="B3" s="171" t="s">
        <v>14</v>
      </c>
      <c r="C3" s="171" t="s">
        <v>269</v>
      </c>
      <c r="D3" s="197" t="s">
        <v>16</v>
      </c>
      <c r="E3" s="164" t="s">
        <v>537</v>
      </c>
      <c r="F3" s="172"/>
      <c r="G3" s="164" t="s">
        <v>94</v>
      </c>
      <c r="H3" s="172"/>
      <c r="I3" s="164" t="s">
        <v>158</v>
      </c>
      <c r="J3" s="172"/>
      <c r="K3" s="172"/>
      <c r="L3" s="468">
        <v>560000</v>
      </c>
      <c r="M3" s="428">
        <v>560000</v>
      </c>
      <c r="N3" s="428">
        <v>304630.96000000002</v>
      </c>
      <c r="O3" s="428">
        <v>304630.96000000002</v>
      </c>
      <c r="P3" s="172"/>
      <c r="Q3" s="445" t="s">
        <v>170</v>
      </c>
      <c r="R3" s="248"/>
      <c r="S3" s="248"/>
      <c r="T3" s="3"/>
      <c r="U3" s="82"/>
      <c r="V3" s="82"/>
    </row>
    <row r="4" spans="1:22" ht="40.5" customHeight="1" x14ac:dyDescent="0.2">
      <c r="A4" s="609"/>
      <c r="B4" s="171" t="s">
        <v>119</v>
      </c>
      <c r="C4" s="171" t="s">
        <v>538</v>
      </c>
      <c r="D4" s="197" t="s">
        <v>16</v>
      </c>
      <c r="E4" s="164" t="s">
        <v>539</v>
      </c>
      <c r="F4" s="164" t="s">
        <v>540</v>
      </c>
      <c r="G4" s="164" t="s">
        <v>541</v>
      </c>
      <c r="H4" s="172"/>
      <c r="I4" s="164" t="s">
        <v>175</v>
      </c>
      <c r="J4" s="172">
        <v>956865</v>
      </c>
      <c r="K4" s="164" t="s">
        <v>542</v>
      </c>
      <c r="L4" s="468">
        <v>2520000</v>
      </c>
      <c r="M4" s="428" t="s">
        <v>543</v>
      </c>
      <c r="N4" s="428"/>
      <c r="O4" s="428"/>
      <c r="P4" s="164" t="s">
        <v>192</v>
      </c>
      <c r="Q4" s="445" t="s">
        <v>170</v>
      </c>
      <c r="R4" s="248"/>
      <c r="S4" s="248"/>
      <c r="T4" s="3"/>
      <c r="U4" s="82"/>
      <c r="V4" s="82"/>
    </row>
    <row r="5" spans="1:22" ht="36.75" customHeight="1" x14ac:dyDescent="0.2">
      <c r="A5" s="609"/>
      <c r="B5" s="171" t="s">
        <v>121</v>
      </c>
      <c r="C5" s="171" t="s">
        <v>300</v>
      </c>
      <c r="D5" s="197" t="s">
        <v>16</v>
      </c>
      <c r="E5" s="164" t="s">
        <v>544</v>
      </c>
      <c r="F5" s="164" t="s">
        <v>545</v>
      </c>
      <c r="G5" s="164" t="s">
        <v>397</v>
      </c>
      <c r="H5" s="164" t="s">
        <v>546</v>
      </c>
      <c r="I5" s="164" t="s">
        <v>175</v>
      </c>
      <c r="J5" s="172">
        <v>949551</v>
      </c>
      <c r="K5" s="164" t="s">
        <v>281</v>
      </c>
      <c r="L5" s="423">
        <v>490076.6</v>
      </c>
      <c r="M5" s="428">
        <v>490076.6</v>
      </c>
      <c r="N5" s="428">
        <v>490076.6</v>
      </c>
      <c r="O5" s="428">
        <v>490076.6</v>
      </c>
      <c r="P5" s="164" t="s">
        <v>205</v>
      </c>
      <c r="Q5" s="445" t="s">
        <v>170</v>
      </c>
      <c r="R5" s="248"/>
      <c r="S5" s="248"/>
      <c r="T5" s="3"/>
      <c r="U5" s="82"/>
      <c r="V5" s="82"/>
    </row>
    <row r="6" spans="1:22" ht="48" x14ac:dyDescent="0.2">
      <c r="A6" s="609"/>
      <c r="B6" s="171" t="s">
        <v>119</v>
      </c>
      <c r="C6" s="171" t="s">
        <v>153</v>
      </c>
      <c r="D6" s="197" t="s">
        <v>16</v>
      </c>
      <c r="E6" s="164" t="s">
        <v>547</v>
      </c>
      <c r="F6" s="164" t="s">
        <v>548</v>
      </c>
      <c r="G6" s="164" t="s">
        <v>549</v>
      </c>
      <c r="H6" s="164" t="s">
        <v>550</v>
      </c>
      <c r="I6" s="164" t="s">
        <v>175</v>
      </c>
      <c r="J6" s="164"/>
      <c r="K6" s="164" t="s">
        <v>275</v>
      </c>
      <c r="L6" s="423">
        <v>500000</v>
      </c>
      <c r="M6" s="428">
        <v>500000</v>
      </c>
      <c r="N6" s="523"/>
      <c r="O6" s="523"/>
      <c r="P6" s="164" t="s">
        <v>165</v>
      </c>
      <c r="Q6" s="445" t="s">
        <v>170</v>
      </c>
      <c r="R6" s="248"/>
      <c r="S6" s="248" t="s">
        <v>551</v>
      </c>
      <c r="T6" s="3"/>
      <c r="U6" s="82"/>
      <c r="V6" s="82"/>
    </row>
    <row r="7" spans="1:22" ht="121.5" customHeight="1" x14ac:dyDescent="0.2">
      <c r="A7" s="609"/>
      <c r="B7" s="171" t="s">
        <v>121</v>
      </c>
      <c r="C7" s="171" t="s">
        <v>153</v>
      </c>
      <c r="D7" s="197" t="s">
        <v>16</v>
      </c>
      <c r="E7" s="164" t="s">
        <v>552</v>
      </c>
      <c r="F7" s="164" t="s">
        <v>553</v>
      </c>
      <c r="G7" s="164" t="s">
        <v>554</v>
      </c>
      <c r="H7" s="164" t="s">
        <v>550</v>
      </c>
      <c r="I7" s="164" t="s">
        <v>175</v>
      </c>
      <c r="J7" s="164"/>
      <c r="K7" s="164" t="s">
        <v>555</v>
      </c>
      <c r="L7" s="423">
        <v>7562874.5599999996</v>
      </c>
      <c r="M7" s="428">
        <v>7562874.5599999996</v>
      </c>
      <c r="N7" s="428">
        <v>7562874.5599999996</v>
      </c>
      <c r="O7" s="428">
        <v>7562874.5599999996</v>
      </c>
      <c r="P7" s="164" t="s">
        <v>205</v>
      </c>
      <c r="Q7" s="445" t="s">
        <v>170</v>
      </c>
      <c r="R7" s="470"/>
      <c r="S7" s="248" t="s">
        <v>556</v>
      </c>
      <c r="T7" s="3"/>
      <c r="U7" s="82"/>
      <c r="V7" s="82"/>
    </row>
    <row r="8" spans="1:22" ht="58.5" customHeight="1" x14ac:dyDescent="0.2">
      <c r="A8" s="609"/>
      <c r="B8" s="171" t="s">
        <v>119</v>
      </c>
      <c r="C8" s="171" t="s">
        <v>153</v>
      </c>
      <c r="D8" s="164" t="s">
        <v>16</v>
      </c>
      <c r="E8" s="164" t="s">
        <v>557</v>
      </c>
      <c r="F8" s="164" t="s">
        <v>558</v>
      </c>
      <c r="G8" s="164" t="s">
        <v>554</v>
      </c>
      <c r="H8" s="164" t="s">
        <v>550</v>
      </c>
      <c r="I8" s="164" t="s">
        <v>175</v>
      </c>
      <c r="J8" s="164"/>
      <c r="K8" s="164" t="s">
        <v>559</v>
      </c>
      <c r="L8" s="423">
        <v>350000</v>
      </c>
      <c r="M8" s="524">
        <v>348854.56</v>
      </c>
      <c r="N8" s="428">
        <v>339800</v>
      </c>
      <c r="O8" s="428">
        <v>144899.4</v>
      </c>
      <c r="P8" s="164" t="s">
        <v>329</v>
      </c>
      <c r="Q8" s="445" t="s">
        <v>170</v>
      </c>
      <c r="R8" s="475"/>
      <c r="S8" s="248" t="s">
        <v>560</v>
      </c>
      <c r="T8" s="3"/>
      <c r="U8" s="82"/>
      <c r="V8" s="82"/>
    </row>
    <row r="9" spans="1:22" ht="48" x14ac:dyDescent="0.2">
      <c r="A9" s="609"/>
      <c r="B9" s="171" t="s">
        <v>121</v>
      </c>
      <c r="C9" s="171" t="s">
        <v>269</v>
      </c>
      <c r="D9" s="164" t="s">
        <v>16</v>
      </c>
      <c r="E9" s="164" t="s">
        <v>561</v>
      </c>
      <c r="F9" s="164" t="s">
        <v>562</v>
      </c>
      <c r="G9" s="164" t="s">
        <v>397</v>
      </c>
      <c r="H9" s="164" t="s">
        <v>563</v>
      </c>
      <c r="I9" s="164" t="s">
        <v>564</v>
      </c>
      <c r="J9" s="164"/>
      <c r="K9" s="164"/>
      <c r="L9" s="423">
        <v>70000</v>
      </c>
      <c r="M9" s="524"/>
      <c r="N9" s="524"/>
      <c r="O9" s="524"/>
      <c r="P9" s="164" t="s">
        <v>165</v>
      </c>
      <c r="Q9" s="445" t="s">
        <v>170</v>
      </c>
      <c r="R9" s="469"/>
      <c r="S9" s="248" t="s">
        <v>565</v>
      </c>
      <c r="T9" s="3"/>
      <c r="U9" s="82"/>
      <c r="V9" s="82"/>
    </row>
    <row r="10" spans="1:22" ht="24" x14ac:dyDescent="0.2">
      <c r="A10" s="609"/>
      <c r="B10" s="171" t="s">
        <v>119</v>
      </c>
      <c r="C10" s="171" t="s">
        <v>269</v>
      </c>
      <c r="D10" s="164" t="s">
        <v>16</v>
      </c>
      <c r="E10" s="164" t="s">
        <v>566</v>
      </c>
      <c r="F10" s="164" t="s">
        <v>567</v>
      </c>
      <c r="G10" s="166" t="s">
        <v>541</v>
      </c>
      <c r="H10" s="164" t="s">
        <v>568</v>
      </c>
      <c r="I10" s="164" t="s">
        <v>175</v>
      </c>
      <c r="J10" s="164"/>
      <c r="K10" s="164"/>
      <c r="L10" s="525">
        <v>170887.5</v>
      </c>
      <c r="M10" s="524"/>
      <c r="N10" s="524"/>
      <c r="O10" s="524"/>
      <c r="P10" s="164" t="s">
        <v>192</v>
      </c>
      <c r="Q10" s="445"/>
      <c r="R10" s="469"/>
      <c r="S10" s="248"/>
      <c r="T10" s="3"/>
      <c r="U10" s="82"/>
      <c r="V10" s="82"/>
    </row>
    <row r="11" spans="1:22" ht="40.5" x14ac:dyDescent="0.2">
      <c r="A11" s="609"/>
      <c r="B11" s="171" t="s">
        <v>119</v>
      </c>
      <c r="C11" s="171" t="s">
        <v>269</v>
      </c>
      <c r="D11" s="164" t="s">
        <v>16</v>
      </c>
      <c r="E11" s="471" t="s">
        <v>569</v>
      </c>
      <c r="F11" s="197" t="s">
        <v>570</v>
      </c>
      <c r="G11" s="166" t="s">
        <v>541</v>
      </c>
      <c r="H11" s="164" t="s">
        <v>568</v>
      </c>
      <c r="I11" s="164" t="s">
        <v>175</v>
      </c>
      <c r="J11" s="164"/>
      <c r="K11" s="473" t="s">
        <v>571</v>
      </c>
      <c r="L11" s="472">
        <v>800320</v>
      </c>
      <c r="M11" s="474"/>
      <c r="N11" s="167"/>
      <c r="O11" s="167"/>
      <c r="P11" s="164" t="s">
        <v>192</v>
      </c>
      <c r="Q11" s="445" t="s">
        <v>170</v>
      </c>
      <c r="R11" s="457"/>
      <c r="S11" s="248"/>
      <c r="T11" s="3"/>
      <c r="U11" s="69"/>
    </row>
    <row r="12" spans="1:22" ht="27" x14ac:dyDescent="0.2">
      <c r="A12" s="609"/>
      <c r="B12" s="171" t="s">
        <v>119</v>
      </c>
      <c r="C12" s="171" t="s">
        <v>269</v>
      </c>
      <c r="D12" s="164" t="s">
        <v>16</v>
      </c>
      <c r="E12" s="471" t="s">
        <v>572</v>
      </c>
      <c r="F12" s="164" t="s">
        <v>573</v>
      </c>
      <c r="G12" s="166" t="s">
        <v>541</v>
      </c>
      <c r="H12" s="164" t="s">
        <v>568</v>
      </c>
      <c r="I12" s="164" t="s">
        <v>175</v>
      </c>
      <c r="J12" s="164"/>
      <c r="K12" s="164" t="s">
        <v>542</v>
      </c>
      <c r="L12" s="174">
        <v>200000</v>
      </c>
      <c r="M12" s="225"/>
      <c r="N12" s="225"/>
      <c r="O12" s="225"/>
      <c r="P12" s="164" t="s">
        <v>219</v>
      </c>
      <c r="Q12" s="445" t="s">
        <v>170</v>
      </c>
      <c r="R12" s="475"/>
      <c r="S12" s="248"/>
      <c r="T12" s="3"/>
      <c r="U12" s="69"/>
    </row>
    <row r="13" spans="1:22" ht="37.5" customHeight="1" x14ac:dyDescent="0.2">
      <c r="A13" s="609"/>
      <c r="B13" s="171" t="s">
        <v>119</v>
      </c>
      <c r="C13" s="171" t="s">
        <v>269</v>
      </c>
      <c r="D13" s="164" t="s">
        <v>16</v>
      </c>
      <c r="E13" s="471" t="s">
        <v>574</v>
      </c>
      <c r="F13" s="164" t="s">
        <v>258</v>
      </c>
      <c r="G13" s="166" t="s">
        <v>541</v>
      </c>
      <c r="H13" s="164" t="s">
        <v>568</v>
      </c>
      <c r="I13" s="164" t="s">
        <v>175</v>
      </c>
      <c r="J13" s="164"/>
      <c r="K13" s="164" t="s">
        <v>305</v>
      </c>
      <c r="L13" s="174">
        <v>240000</v>
      </c>
      <c r="M13" s="174">
        <v>240000</v>
      </c>
      <c r="N13" s="225">
        <v>240000</v>
      </c>
      <c r="O13" s="225">
        <v>240000</v>
      </c>
      <c r="P13" s="164" t="s">
        <v>205</v>
      </c>
      <c r="Q13" s="445" t="s">
        <v>170</v>
      </c>
      <c r="R13" s="475"/>
      <c r="S13" s="248"/>
      <c r="T13" s="3"/>
      <c r="U13" s="69"/>
    </row>
    <row r="14" spans="1:22" s="391" customFormat="1" ht="52.5" customHeight="1" x14ac:dyDescent="0.2">
      <c r="A14" s="609"/>
      <c r="B14" s="171" t="s">
        <v>121</v>
      </c>
      <c r="C14" s="171" t="s">
        <v>269</v>
      </c>
      <c r="D14" s="164" t="s">
        <v>16</v>
      </c>
      <c r="E14" s="476" t="s">
        <v>575</v>
      </c>
      <c r="F14" s="164" t="s">
        <v>576</v>
      </c>
      <c r="G14" s="164" t="s">
        <v>397</v>
      </c>
      <c r="H14" s="164" t="s">
        <v>577</v>
      </c>
      <c r="I14" s="164" t="s">
        <v>175</v>
      </c>
      <c r="J14" s="164"/>
      <c r="K14" s="164" t="s">
        <v>578</v>
      </c>
      <c r="L14" s="174">
        <v>1736475.93</v>
      </c>
      <c r="M14" s="225">
        <v>1736475.93</v>
      </c>
      <c r="N14" s="167">
        <v>1736475.93</v>
      </c>
      <c r="O14" s="167">
        <v>1736475.93</v>
      </c>
      <c r="P14" s="164" t="s">
        <v>205</v>
      </c>
      <c r="Q14" s="445" t="s">
        <v>170</v>
      </c>
      <c r="R14" s="475"/>
      <c r="S14" s="452"/>
      <c r="T14" s="482"/>
      <c r="U14" s="390"/>
    </row>
    <row r="15" spans="1:22" ht="46.5" customHeight="1" x14ac:dyDescent="0.2">
      <c r="A15" s="609"/>
      <c r="B15" s="171" t="s">
        <v>121</v>
      </c>
      <c r="C15" s="171" t="s">
        <v>269</v>
      </c>
      <c r="D15" s="164" t="s">
        <v>16</v>
      </c>
      <c r="E15" s="476" t="s">
        <v>579</v>
      </c>
      <c r="F15" s="164" t="s">
        <v>580</v>
      </c>
      <c r="G15" s="164" t="s">
        <v>397</v>
      </c>
      <c r="H15" s="164" t="s">
        <v>577</v>
      </c>
      <c r="I15" s="164" t="s">
        <v>175</v>
      </c>
      <c r="J15" s="164"/>
      <c r="K15" s="164" t="s">
        <v>314</v>
      </c>
      <c r="L15" s="477">
        <v>4920792</v>
      </c>
      <c r="M15" s="462">
        <v>4920792</v>
      </c>
      <c r="N15" s="478">
        <v>4768939.41</v>
      </c>
      <c r="O15" s="478">
        <v>4768939.41</v>
      </c>
      <c r="P15" s="164" t="s">
        <v>205</v>
      </c>
      <c r="Q15" s="445" t="s">
        <v>170</v>
      </c>
      <c r="R15" s="475"/>
      <c r="S15" s="452"/>
      <c r="T15" s="3"/>
    </row>
    <row r="16" spans="1:22" ht="24" x14ac:dyDescent="0.2">
      <c r="A16" s="609"/>
      <c r="B16" s="171" t="s">
        <v>121</v>
      </c>
      <c r="C16" s="171" t="s">
        <v>269</v>
      </c>
      <c r="D16" s="164" t="s">
        <v>16</v>
      </c>
      <c r="E16" s="476" t="s">
        <v>581</v>
      </c>
      <c r="F16" s="164" t="s">
        <v>582</v>
      </c>
      <c r="G16" s="164" t="s">
        <v>397</v>
      </c>
      <c r="H16" s="164" t="s">
        <v>398</v>
      </c>
      <c r="I16" s="479" t="s">
        <v>583</v>
      </c>
      <c r="J16" s="164"/>
      <c r="K16" s="164" t="s">
        <v>584</v>
      </c>
      <c r="L16" s="477">
        <v>300000</v>
      </c>
      <c r="M16" s="477">
        <v>300000</v>
      </c>
      <c r="N16" s="478"/>
      <c r="O16" s="478"/>
      <c r="P16" s="164" t="s">
        <v>165</v>
      </c>
      <c r="Q16" s="445" t="s">
        <v>170</v>
      </c>
      <c r="R16" s="475"/>
      <c r="S16" s="452"/>
      <c r="T16" s="3"/>
    </row>
    <row r="17" spans="1:20" ht="24" x14ac:dyDescent="0.2">
      <c r="A17" s="609"/>
      <c r="B17" s="171" t="s">
        <v>121</v>
      </c>
      <c r="C17" s="171" t="s">
        <v>269</v>
      </c>
      <c r="D17" s="164" t="s">
        <v>16</v>
      </c>
      <c r="E17" s="476" t="s">
        <v>585</v>
      </c>
      <c r="F17" s="164" t="s">
        <v>289</v>
      </c>
      <c r="G17" s="164" t="s">
        <v>586</v>
      </c>
      <c r="H17" s="164" t="s">
        <v>587</v>
      </c>
      <c r="I17" s="479"/>
      <c r="J17" s="164"/>
      <c r="K17" s="164" t="s">
        <v>281</v>
      </c>
      <c r="L17" s="477">
        <v>600000</v>
      </c>
      <c r="M17" s="477">
        <v>600000</v>
      </c>
      <c r="N17" s="478"/>
      <c r="O17" s="478"/>
      <c r="P17" s="164" t="s">
        <v>165</v>
      </c>
      <c r="Q17" s="445"/>
      <c r="R17" s="475"/>
      <c r="S17" s="452"/>
      <c r="T17" s="3"/>
    </row>
    <row r="18" spans="1:20" ht="24" x14ac:dyDescent="0.2">
      <c r="A18" s="609"/>
      <c r="B18" s="171" t="s">
        <v>121</v>
      </c>
      <c r="C18" s="171" t="s">
        <v>269</v>
      </c>
      <c r="D18" s="164" t="s">
        <v>16</v>
      </c>
      <c r="E18" s="476" t="s">
        <v>588</v>
      </c>
      <c r="F18" s="164" t="s">
        <v>274</v>
      </c>
      <c r="G18" s="164"/>
      <c r="H18" s="164"/>
      <c r="I18" s="479" t="s">
        <v>175</v>
      </c>
      <c r="J18" s="164"/>
      <c r="K18" s="164" t="s">
        <v>275</v>
      </c>
      <c r="L18" s="477">
        <v>1000000</v>
      </c>
      <c r="M18" s="477">
        <v>1000000</v>
      </c>
      <c r="N18" s="478">
        <v>1000000</v>
      </c>
      <c r="O18" s="478">
        <v>254939.28</v>
      </c>
      <c r="P18" s="164" t="s">
        <v>165</v>
      </c>
      <c r="Q18" s="445"/>
      <c r="R18" s="475"/>
      <c r="S18" s="452"/>
      <c r="T18" s="3"/>
    </row>
    <row r="19" spans="1:20" ht="24" x14ac:dyDescent="0.2">
      <c r="A19" s="609"/>
      <c r="B19" s="171" t="s">
        <v>119</v>
      </c>
      <c r="C19" s="171" t="s">
        <v>269</v>
      </c>
      <c r="D19" s="164" t="s">
        <v>16</v>
      </c>
      <c r="E19" s="476" t="s">
        <v>589</v>
      </c>
      <c r="F19" s="164" t="s">
        <v>590</v>
      </c>
      <c r="G19" s="164" t="s">
        <v>541</v>
      </c>
      <c r="H19" s="164" t="s">
        <v>591</v>
      </c>
      <c r="I19" s="479" t="s">
        <v>175</v>
      </c>
      <c r="J19" s="164"/>
      <c r="K19" s="164" t="s">
        <v>542</v>
      </c>
      <c r="L19" s="477">
        <v>500000</v>
      </c>
      <c r="M19" s="477">
        <v>450000</v>
      </c>
      <c r="N19" s="478"/>
      <c r="O19" s="478"/>
      <c r="P19" s="164" t="s">
        <v>165</v>
      </c>
      <c r="Q19" s="445"/>
      <c r="R19" s="475"/>
      <c r="S19" s="452"/>
      <c r="T19" s="3"/>
    </row>
    <row r="20" spans="1:20" ht="36" customHeight="1" x14ac:dyDescent="0.2">
      <c r="A20" s="609"/>
      <c r="B20" s="171" t="s">
        <v>119</v>
      </c>
      <c r="C20" s="171" t="s">
        <v>269</v>
      </c>
      <c r="D20" s="164" t="s">
        <v>16</v>
      </c>
      <c r="E20" s="197"/>
      <c r="F20" s="164"/>
      <c r="G20" s="164"/>
      <c r="H20" s="164"/>
      <c r="I20" s="164"/>
      <c r="J20" s="164"/>
      <c r="K20" s="164" t="s">
        <v>263</v>
      </c>
      <c r="L20" s="477">
        <v>71216.41</v>
      </c>
      <c r="M20" s="477">
        <v>71216.41</v>
      </c>
      <c r="N20" s="167">
        <v>71216.41</v>
      </c>
      <c r="O20" s="167">
        <v>71216.41</v>
      </c>
      <c r="P20" s="164" t="s">
        <v>205</v>
      </c>
      <c r="Q20" s="445" t="s">
        <v>170</v>
      </c>
      <c r="R20" s="475"/>
      <c r="S20" s="248"/>
      <c r="T20" s="3"/>
    </row>
    <row r="21" spans="1:20" ht="36" customHeight="1" x14ac:dyDescent="0.2">
      <c r="A21" s="609"/>
      <c r="B21" s="171" t="s">
        <v>119</v>
      </c>
      <c r="C21" s="171" t="s">
        <v>269</v>
      </c>
      <c r="D21" s="164" t="s">
        <v>16</v>
      </c>
      <c r="E21" s="197" t="s">
        <v>592</v>
      </c>
      <c r="F21" s="164" t="s">
        <v>593</v>
      </c>
      <c r="G21" s="164" t="s">
        <v>541</v>
      </c>
      <c r="H21" s="164" t="s">
        <v>568</v>
      </c>
      <c r="I21" s="164" t="s">
        <v>175</v>
      </c>
      <c r="J21" s="164"/>
      <c r="K21" s="164"/>
      <c r="L21" s="477">
        <v>210000</v>
      </c>
      <c r="M21" s="477"/>
      <c r="N21" s="167"/>
      <c r="O21" s="167"/>
      <c r="P21" s="164" t="s">
        <v>192</v>
      </c>
      <c r="Q21" s="445"/>
      <c r="R21" s="475"/>
      <c r="S21" s="248"/>
      <c r="T21" s="3"/>
    </row>
    <row r="22" spans="1:20" ht="63" customHeight="1" x14ac:dyDescent="0.2">
      <c r="A22" s="609"/>
      <c r="B22" s="171" t="s">
        <v>121</v>
      </c>
      <c r="C22" s="171" t="s">
        <v>269</v>
      </c>
      <c r="D22" s="164" t="s">
        <v>16</v>
      </c>
      <c r="E22" s="164" t="s">
        <v>594</v>
      </c>
      <c r="F22" s="164" t="s">
        <v>296</v>
      </c>
      <c r="G22" s="164" t="s">
        <v>114</v>
      </c>
      <c r="H22" s="164"/>
      <c r="I22" s="164" t="s">
        <v>175</v>
      </c>
      <c r="J22" s="164"/>
      <c r="K22" s="164" t="s">
        <v>236</v>
      </c>
      <c r="L22" s="480">
        <v>2000000</v>
      </c>
      <c r="M22" s="481">
        <v>1920000</v>
      </c>
      <c r="N22" s="167">
        <v>1000000</v>
      </c>
      <c r="O22" s="167">
        <v>1000000</v>
      </c>
      <c r="P22" s="164" t="s">
        <v>165</v>
      </c>
      <c r="Q22" s="445" t="s">
        <v>170</v>
      </c>
      <c r="R22" s="475"/>
      <c r="S22" s="452"/>
      <c r="T22" s="3"/>
    </row>
    <row r="23" spans="1:20" ht="12" x14ac:dyDescent="0.2">
      <c r="A23" s="609"/>
      <c r="B23" s="171"/>
      <c r="C23" s="171"/>
      <c r="D23" s="164"/>
      <c r="E23" s="164"/>
      <c r="F23" s="164"/>
      <c r="G23" s="164"/>
      <c r="H23" s="164"/>
      <c r="I23" s="164"/>
      <c r="J23" s="164"/>
      <c r="K23" s="164"/>
      <c r="L23" s="480"/>
      <c r="M23" s="481"/>
      <c r="N23" s="167"/>
      <c r="O23" s="167"/>
      <c r="P23" s="164"/>
      <c r="Q23" s="445" t="s">
        <v>170</v>
      </c>
      <c r="R23" s="475"/>
      <c r="S23" s="452"/>
      <c r="T23" s="3"/>
    </row>
    <row r="24" spans="1:20" ht="12" x14ac:dyDescent="0.2">
      <c r="A24" s="609"/>
      <c r="B24" s="171"/>
      <c r="C24" s="171"/>
      <c r="D24" s="164"/>
      <c r="E24" s="526"/>
      <c r="F24" s="164"/>
      <c r="G24" s="164"/>
      <c r="H24" s="164"/>
      <c r="I24" s="164"/>
      <c r="J24" s="164"/>
      <c r="K24" s="164"/>
      <c r="L24" s="480"/>
      <c r="M24" s="481"/>
      <c r="N24" s="481"/>
      <c r="O24" s="167"/>
      <c r="P24" s="164"/>
      <c r="Q24" s="445" t="s">
        <v>170</v>
      </c>
      <c r="R24" s="475"/>
      <c r="S24" s="452"/>
      <c r="T24" s="3"/>
    </row>
    <row r="25" spans="1:20" ht="12" x14ac:dyDescent="0.2">
      <c r="A25" s="609"/>
      <c r="B25" s="611"/>
      <c r="C25" s="611"/>
      <c r="D25" s="611"/>
      <c r="E25" s="611"/>
      <c r="F25" s="611"/>
      <c r="G25" s="612" t="s">
        <v>50</v>
      </c>
      <c r="H25" s="612"/>
      <c r="I25" s="612"/>
      <c r="J25" s="612"/>
      <c r="K25" s="612"/>
      <c r="L25" s="464">
        <f>SUM(L3:L24)</f>
        <v>24802643</v>
      </c>
      <c r="M25" s="168">
        <f>SUM(M3:M24)</f>
        <v>20700290.059999999</v>
      </c>
      <c r="N25" s="168">
        <f>SUM(N3:N24)</f>
        <v>17514013.869999997</v>
      </c>
      <c r="O25" s="168">
        <f>SUM(O3:O24)</f>
        <v>16574052.549999999</v>
      </c>
      <c r="P25" s="626"/>
      <c r="Q25" s="626"/>
      <c r="R25" s="626"/>
      <c r="S25" s="626"/>
      <c r="T25" s="3"/>
    </row>
    <row r="26" spans="1:20" ht="15.75" customHeight="1" x14ac:dyDescent="0.2">
      <c r="A26" s="609"/>
      <c r="B26" s="611"/>
      <c r="C26" s="611"/>
      <c r="D26" s="611"/>
      <c r="E26" s="611"/>
      <c r="F26" s="611"/>
      <c r="G26" s="616" t="s">
        <v>160</v>
      </c>
      <c r="H26" s="612"/>
      <c r="I26" s="612"/>
      <c r="J26" s="612"/>
      <c r="K26" s="612"/>
      <c r="L26" s="614">
        <f>'Consolidado 2026'!H13</f>
        <v>25131610</v>
      </c>
      <c r="M26" s="614"/>
      <c r="N26" s="614"/>
      <c r="O26" s="614"/>
      <c r="P26" s="626"/>
      <c r="Q26" s="626"/>
      <c r="R26" s="626"/>
      <c r="S26" s="626"/>
      <c r="T26" s="3"/>
    </row>
    <row r="27" spans="1:20" ht="18.75" customHeight="1" x14ac:dyDescent="0.2">
      <c r="A27" s="609"/>
      <c r="B27" s="611"/>
      <c r="C27" s="611"/>
      <c r="D27" s="611"/>
      <c r="E27" s="611"/>
      <c r="F27" s="611"/>
      <c r="G27" s="612" t="s">
        <v>161</v>
      </c>
      <c r="H27" s="612"/>
      <c r="I27" s="612"/>
      <c r="J27" s="612"/>
      <c r="K27" s="612"/>
      <c r="L27" s="615">
        <f>L25/L26</f>
        <v>0.98691022978631293</v>
      </c>
      <c r="M27" s="615"/>
      <c r="N27" s="615"/>
      <c r="O27" s="615"/>
      <c r="P27" s="626"/>
      <c r="Q27" s="626"/>
      <c r="R27" s="626"/>
      <c r="S27" s="626"/>
      <c r="T27" s="3"/>
    </row>
    <row r="28" spans="1:20" ht="26.25" customHeight="1" x14ac:dyDescent="0.4">
      <c r="A28" s="483"/>
    </row>
    <row r="29" spans="1:20" ht="26.25" customHeight="1" x14ac:dyDescent="0.4">
      <c r="P29" s="389"/>
      <c r="Q29" s="389"/>
    </row>
  </sheetData>
  <autoFilter ref="B2:S27" xr:uid="{34FA94AD-0FA3-46C0-B914-726C755BAFBA}"/>
  <mergeCells count="9">
    <mergeCell ref="A1:S1"/>
    <mergeCell ref="A3:A27"/>
    <mergeCell ref="B25:F27"/>
    <mergeCell ref="G25:K25"/>
    <mergeCell ref="P25:S27"/>
    <mergeCell ref="G26:K26"/>
    <mergeCell ref="L26:O26"/>
    <mergeCell ref="G27:K27"/>
    <mergeCell ref="L27:O27"/>
  </mergeCells>
  <dataValidations count="6">
    <dataValidation type="list" allowBlank="1" showInputMessage="1" showErrorMessage="1" sqref="D1 D25:D1048576 D3:D10 D11" xr:uid="{7415F0FE-5BFB-41AC-87B8-F0D7AA6A0FD1}">
      <formula1>"Despesas correntes,investimento"</formula1>
    </dataValidation>
    <dataValidation type="list" allowBlank="1" showInputMessage="1" showErrorMessage="1" sqref="B1 B3:B1048576" xr:uid="{824C343E-7F4F-4C28-B813-326FF7E0D01B}">
      <formula1>"0000,0001,0002"</formula1>
    </dataValidation>
    <dataValidation type="list" allowBlank="1" showInputMessage="1" showErrorMessage="1" sqref="B2" xr:uid="{2E11D248-B8F7-4623-9648-5B3E7F8EFB34}">
      <formula1>"0000,0001,0002,0003,0004"</formula1>
    </dataValidation>
    <dataValidation type="list" allowBlank="1" showInputMessage="1" showErrorMessage="1" sqref="D8:D10 D12:D24" xr:uid="{BE184FDD-D6EF-4AD2-B0D5-124A4AF52C30}">
      <formula1>"Despesas correntes,Investimento"</formula1>
    </dataValidation>
    <dataValidation allowBlank="1" showInputMessage="1" showErrorMessage="1" sqref="Q2" xr:uid="{37E55E64-FFB0-4502-95A7-307FE291EF33}"/>
    <dataValidation type="list" allowBlank="1" showInputMessage="1" showErrorMessage="1" sqref="C1:C1048576" xr:uid="{409B35D3-F368-453F-BF18-E146E27C8FE4}">
      <formula1>"2023,2024,2025,2026"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36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7" operator="containsText" id="{536E4BAB-966F-4635-857B-9037138494D8}">
            <xm:f>NOT(ISERROR(SEARCH(Planilha1!$B$9,P3)))</xm:f>
            <xm:f>Planilha1!$B$9</xm:f>
            <x14:dxf>
              <font>
                <b/>
                <i val="0"/>
                <color theme="1"/>
              </font>
              <fill>
                <patternFill patternType="solid">
                  <bgColor rgb="FF00B050"/>
                </patternFill>
              </fill>
            </x14:dxf>
          </x14:cfRule>
          <x14:cfRule type="containsText" priority="278" operator="containsText" id="{E20DF218-15FF-49E8-A764-CE257649A9F7}">
            <xm:f>NOT(ISERROR(SEARCH(Planilha1!$B$8,P3)))</xm:f>
            <xm:f>Planilha1!$B$8</xm:f>
            <x14:dxf>
              <font>
                <b/>
                <i val="0"/>
                <color theme="1"/>
              </font>
              <fill>
                <patternFill patternType="solid">
                  <bgColor rgb="FF92D050"/>
                </patternFill>
              </fill>
            </x14:dxf>
          </x14:cfRule>
          <x14:cfRule type="containsText" priority="279" operator="containsText" id="{3280627F-3D95-40D3-AF29-2FFFF33921D7}">
            <xm:f>NOT(ISERROR(SEARCH(Planilha1!$B$6,P3)))</xm:f>
            <xm:f>Planilha1!$B$6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82" operator="containsText" id="{63CF194A-3403-4877-AED2-F2B185229B99}">
            <xm:f>NOT(ISERROR(SEARCH(Planilha1!$B$4,P3)))</xm:f>
            <xm:f>Planilha1!$B$4</xm:f>
            <x14:dxf>
              <font>
                <b/>
                <i val="0"/>
                <color theme="1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283" operator="containsText" id="{09BE427C-1913-4E2D-BA5E-16234B2AB79A}">
            <xm:f>NOT(ISERROR(SEARCH(Planilha1!$B$5,P3)))</xm:f>
            <xm:f>Planilha1!$B$5</xm:f>
            <x14:dxf>
              <font>
                <b/>
                <i val="0"/>
                <color theme="1"/>
              </font>
              <fill>
                <patternFill patternType="solid">
                  <bgColor theme="5"/>
                </patternFill>
              </fill>
            </x14:dxf>
          </x14:cfRule>
          <xm:sqref>P3:P24</xm:sqref>
        </x14:conditionalFormatting>
        <x14:conditionalFormatting xmlns:xm="http://schemas.microsoft.com/office/excel/2006/main">
          <x14:cfRule type="containsText" priority="1" operator="containsText" id="{76689AA1-0CDB-49B5-8067-99DB9C0D15FB}">
            <xm:f>NOT(ISERROR(SEARCH(Planilha1!$B$7,P8)))</xm:f>
            <xm:f>Planilha1!$B$7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m:sqref>P8</xm:sqref>
        </x14:conditionalFormatting>
        <x14:conditionalFormatting xmlns:xm="http://schemas.microsoft.com/office/excel/2006/main">
          <x14:cfRule type="containsText" priority="7" operator="containsText" id="{040E77AE-6353-44C9-A586-7A95F879EC98}">
            <xm:f>NOT(ISERROR(SEARCH(Planilha1!$B$7,P1)))</xm:f>
            <xm:f>Planilha1!$B$7</xm:f>
            <x14:dxf>
              <font>
                <b/>
                <i val="0"/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m:sqref>P1:Q1 P2:P3 P11:P24 P25:Q1048576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3B54ADF-0490-4FF2-AD4D-4F5907EEC5AB}">
          <x14:formula1>
            <xm:f>'Consolidado 2026'!$B$15:$B$15</xm:f>
          </x14:formula1>
          <xm:sqref>D2</xm:sqref>
        </x14:dataValidation>
        <x14:dataValidation type="list" allowBlank="1" showInputMessage="1" showErrorMessage="1" xr:uid="{346ED588-3AF4-4D51-BF2A-A962BEFCB9A2}">
          <x14:formula1>
            <xm:f>Planilha1!$B$4:$B$9</xm:f>
          </x14:formula1>
          <xm:sqref>P4:P24</xm:sqref>
        </x14:dataValidation>
        <x14:dataValidation type="list" allowBlank="1" showInputMessage="1" showErrorMessage="1" xr:uid="{ED4C1944-B53B-48B4-925E-DFD9E4E2CCAA}">
          <x14:formula1>
            <xm:f>Planilha1!$D$3:$D$10</xm:f>
          </x14:formula1>
          <xm:sqref>Q3:Q24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5F61-F6DE-4C40-BF34-CD519068966A}">
  <sheetPr>
    <pageSetUpPr fitToPage="1"/>
  </sheetPr>
  <dimension ref="A1:R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defaultColWidth="8.7109375" defaultRowHeight="26.25" customHeight="1" x14ac:dyDescent="0.4"/>
  <cols>
    <col min="1" max="1" width="8.7109375" style="14"/>
    <col min="2" max="2" width="10.28515625" style="7" customWidth="1"/>
    <col min="3" max="3" width="13.140625" style="7" customWidth="1"/>
    <col min="4" max="4" width="12.140625" style="7" customWidth="1"/>
    <col min="5" max="5" width="29.140625" style="4" customWidth="1"/>
    <col min="6" max="6" width="14.5703125" style="10" customWidth="1"/>
    <col min="7" max="7" width="15.85546875" style="4" customWidth="1"/>
    <col min="8" max="9" width="15.140625" style="4" customWidth="1"/>
    <col min="10" max="10" width="16.140625" style="4" customWidth="1"/>
    <col min="11" max="11" width="21" style="4" customWidth="1"/>
    <col min="12" max="17" width="16.140625" style="4" customWidth="1"/>
    <col min="18" max="18" width="19.5703125" style="4" customWidth="1"/>
    <col min="19" max="16384" width="8.7109375" style="4"/>
  </cols>
  <sheetData>
    <row r="1" spans="1:18" ht="20.45" customHeight="1" x14ac:dyDescent="0.2">
      <c r="A1" s="610" t="s">
        <v>299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</row>
    <row r="2" spans="1:18" s="7" customFormat="1" ht="30.95" customHeight="1" x14ac:dyDescent="0.2">
      <c r="A2" s="159" t="s">
        <v>1</v>
      </c>
      <c r="B2" s="160" t="s">
        <v>3</v>
      </c>
      <c r="C2" s="159" t="s">
        <v>143</v>
      </c>
      <c r="D2" s="159" t="s">
        <v>144</v>
      </c>
      <c r="E2" s="161" t="s">
        <v>4</v>
      </c>
      <c r="F2" s="161" t="s">
        <v>145</v>
      </c>
      <c r="G2" s="161" t="s">
        <v>146</v>
      </c>
      <c r="H2" s="161" t="s">
        <v>147</v>
      </c>
      <c r="I2" s="161" t="s">
        <v>148</v>
      </c>
      <c r="J2" s="161" t="s">
        <v>149</v>
      </c>
      <c r="K2" s="161" t="s">
        <v>150</v>
      </c>
      <c r="L2" s="162" t="s">
        <v>151</v>
      </c>
      <c r="M2" s="163" t="s">
        <v>81</v>
      </c>
      <c r="N2" s="163" t="s">
        <v>82</v>
      </c>
      <c r="O2" s="163" t="s">
        <v>83</v>
      </c>
      <c r="P2" s="159" t="s">
        <v>152</v>
      </c>
      <c r="Q2" s="159"/>
      <c r="R2" s="170" t="s">
        <v>11</v>
      </c>
    </row>
    <row r="3" spans="1:18" ht="12" x14ac:dyDescent="0.2">
      <c r="A3" s="609" t="s">
        <v>105</v>
      </c>
      <c r="B3" s="171"/>
      <c r="C3" s="171"/>
      <c r="D3" s="164"/>
      <c r="E3" s="172"/>
      <c r="F3" s="164"/>
      <c r="G3" s="166"/>
      <c r="H3" s="164"/>
      <c r="I3" s="173"/>
      <c r="J3" s="164"/>
      <c r="K3" s="173"/>
      <c r="L3" s="174"/>
      <c r="M3" s="167"/>
      <c r="N3" s="167"/>
      <c r="O3" s="167"/>
      <c r="P3" s="164"/>
      <c r="Q3" s="164"/>
      <c r="R3" s="248"/>
    </row>
    <row r="4" spans="1:18" ht="12" x14ac:dyDescent="0.2">
      <c r="A4" s="609"/>
      <c r="B4" s="171"/>
      <c r="C4" s="171"/>
      <c r="D4" s="164"/>
      <c r="E4" s="172"/>
      <c r="F4" s="164"/>
      <c r="G4" s="166"/>
      <c r="H4" s="164"/>
      <c r="I4" s="173"/>
      <c r="J4" s="164"/>
      <c r="K4" s="173"/>
      <c r="L4" s="174"/>
      <c r="M4" s="167"/>
      <c r="N4" s="167"/>
      <c r="O4" s="167"/>
      <c r="P4" s="164"/>
      <c r="Q4" s="164"/>
      <c r="R4" s="248"/>
    </row>
    <row r="5" spans="1:18" ht="12" x14ac:dyDescent="0.2">
      <c r="A5" s="609"/>
      <c r="B5" s="171"/>
      <c r="C5" s="171"/>
      <c r="D5" s="164"/>
      <c r="E5" s="172"/>
      <c r="F5" s="164"/>
      <c r="G5" s="166"/>
      <c r="H5" s="164"/>
      <c r="I5" s="173"/>
      <c r="J5" s="164"/>
      <c r="K5" s="173"/>
      <c r="L5" s="174"/>
      <c r="M5" s="167"/>
      <c r="N5" s="167"/>
      <c r="O5" s="167"/>
      <c r="P5" s="164"/>
      <c r="Q5" s="164"/>
      <c r="R5" s="248"/>
    </row>
    <row r="6" spans="1:18" ht="12" x14ac:dyDescent="0.2">
      <c r="A6" s="609"/>
      <c r="B6" s="171"/>
      <c r="C6" s="171"/>
      <c r="D6" s="164"/>
      <c r="E6" s="172"/>
      <c r="F6" s="164"/>
      <c r="G6" s="166"/>
      <c r="H6" s="164"/>
      <c r="I6" s="173"/>
      <c r="J6" s="164"/>
      <c r="K6" s="164"/>
      <c r="L6" s="174"/>
      <c r="M6" s="167"/>
      <c r="N6" s="167"/>
      <c r="O6" s="167"/>
      <c r="P6" s="164"/>
      <c r="Q6" s="164"/>
      <c r="R6" s="248"/>
    </row>
    <row r="7" spans="1:18" ht="12" x14ac:dyDescent="0.2">
      <c r="A7" s="609"/>
      <c r="B7" s="171"/>
      <c r="C7" s="171"/>
      <c r="D7" s="164"/>
      <c r="E7" s="172"/>
      <c r="F7" s="164"/>
      <c r="G7" s="166"/>
      <c r="H7" s="164"/>
      <c r="I7" s="173"/>
      <c r="J7" s="164"/>
      <c r="K7" s="164"/>
      <c r="L7" s="174"/>
      <c r="M7" s="167"/>
      <c r="N7" s="167"/>
      <c r="O7" s="167"/>
      <c r="P7" s="164"/>
      <c r="Q7" s="164"/>
      <c r="R7" s="248"/>
    </row>
    <row r="8" spans="1:18" ht="12" x14ac:dyDescent="0.2">
      <c r="A8" s="609"/>
      <c r="B8" s="171"/>
      <c r="C8" s="171"/>
      <c r="D8" s="164"/>
      <c r="E8" s="172"/>
      <c r="F8" s="164"/>
      <c r="G8" s="166"/>
      <c r="H8" s="164"/>
      <c r="I8" s="173"/>
      <c r="J8" s="164"/>
      <c r="K8" s="164"/>
      <c r="L8" s="174"/>
      <c r="M8" s="167"/>
      <c r="N8" s="167"/>
      <c r="O8" s="167"/>
      <c r="P8" s="164"/>
      <c r="Q8" s="164"/>
      <c r="R8" s="248"/>
    </row>
    <row r="9" spans="1:18" ht="12" x14ac:dyDescent="0.2">
      <c r="A9" s="609"/>
      <c r="B9" s="171"/>
      <c r="C9" s="171"/>
      <c r="D9" s="164"/>
      <c r="E9" s="172"/>
      <c r="F9" s="164"/>
      <c r="G9" s="166"/>
      <c r="H9" s="164"/>
      <c r="I9" s="173"/>
      <c r="J9" s="164"/>
      <c r="K9" s="164"/>
      <c r="L9" s="174"/>
      <c r="M9" s="167"/>
      <c r="N9" s="167"/>
      <c r="O9" s="167"/>
      <c r="P9" s="164"/>
      <c r="Q9" s="164"/>
      <c r="R9" s="248"/>
    </row>
    <row r="10" spans="1:18" ht="12" x14ac:dyDescent="0.2">
      <c r="A10" s="609"/>
      <c r="B10" s="171"/>
      <c r="C10" s="171"/>
      <c r="D10" s="164"/>
      <c r="E10" s="172"/>
      <c r="F10" s="164"/>
      <c r="G10" s="166"/>
      <c r="H10" s="164"/>
      <c r="I10" s="173"/>
      <c r="J10" s="164"/>
      <c r="K10" s="164"/>
      <c r="L10" s="174"/>
      <c r="M10" s="167"/>
      <c r="N10" s="167"/>
      <c r="O10" s="167"/>
      <c r="P10" s="164"/>
      <c r="Q10" s="164"/>
      <c r="R10" s="248"/>
    </row>
    <row r="11" spans="1:18" ht="12" x14ac:dyDescent="0.2">
      <c r="A11" s="609"/>
      <c r="B11" s="171"/>
      <c r="C11" s="171"/>
      <c r="D11" s="164"/>
      <c r="E11" s="172"/>
      <c r="F11" s="164"/>
      <c r="G11" s="166"/>
      <c r="H11" s="164"/>
      <c r="I11" s="173"/>
      <c r="J11" s="164"/>
      <c r="K11" s="164"/>
      <c r="L11" s="174"/>
      <c r="M11" s="167"/>
      <c r="N11" s="167"/>
      <c r="O11" s="167"/>
      <c r="P11" s="164"/>
      <c r="Q11" s="164"/>
      <c r="R11" s="248"/>
    </row>
    <row r="12" spans="1:18" ht="12" x14ac:dyDescent="0.2">
      <c r="A12" s="609"/>
      <c r="B12" s="171"/>
      <c r="C12" s="171"/>
      <c r="D12" s="164"/>
      <c r="E12" s="172"/>
      <c r="F12" s="164"/>
      <c r="G12" s="166"/>
      <c r="H12" s="164"/>
      <c r="I12" s="164"/>
      <c r="J12" s="164"/>
      <c r="K12" s="164"/>
      <c r="L12" s="175"/>
      <c r="M12" s="167"/>
      <c r="N12" s="167"/>
      <c r="O12" s="167"/>
      <c r="P12" s="164"/>
      <c r="Q12" s="164"/>
      <c r="R12" s="172"/>
    </row>
    <row r="13" spans="1:18" ht="15.75" customHeight="1" x14ac:dyDescent="0.2">
      <c r="A13" s="609"/>
      <c r="B13" s="611"/>
      <c r="C13" s="611"/>
      <c r="D13" s="611"/>
      <c r="E13" s="611"/>
      <c r="F13" s="611"/>
      <c r="G13" s="612" t="s">
        <v>50</v>
      </c>
      <c r="H13" s="612"/>
      <c r="I13" s="612"/>
      <c r="J13" s="612"/>
      <c r="K13" s="612"/>
      <c r="L13" s="168">
        <f>SUM(L3:L12)</f>
        <v>0</v>
      </c>
      <c r="M13" s="169">
        <f>SUM(M3:M12)</f>
        <v>0</v>
      </c>
      <c r="N13" s="169">
        <f>SUM(N3:N12)</f>
        <v>0</v>
      </c>
      <c r="O13" s="169">
        <f>SUM(O3:O12)</f>
        <v>0</v>
      </c>
      <c r="P13" s="613"/>
      <c r="Q13" s="613"/>
      <c r="R13" s="613"/>
    </row>
    <row r="14" spans="1:18" ht="15.75" customHeight="1" x14ac:dyDescent="0.2">
      <c r="A14" s="609"/>
      <c r="B14" s="611"/>
      <c r="C14" s="611"/>
      <c r="D14" s="611"/>
      <c r="E14" s="611"/>
      <c r="F14" s="611"/>
      <c r="G14" s="616" t="s">
        <v>160</v>
      </c>
      <c r="H14" s="612"/>
      <c r="I14" s="612"/>
      <c r="J14" s="612"/>
      <c r="K14" s="612"/>
      <c r="L14" s="614">
        <f>'Consolidado 2026'!H21</f>
        <v>282800</v>
      </c>
      <c r="M14" s="614"/>
      <c r="N14" s="614"/>
      <c r="O14" s="614"/>
      <c r="P14" s="613"/>
      <c r="Q14" s="613"/>
      <c r="R14" s="613"/>
    </row>
    <row r="15" spans="1:18" ht="18.75" customHeight="1" x14ac:dyDescent="0.2">
      <c r="A15" s="609"/>
      <c r="B15" s="611"/>
      <c r="C15" s="611"/>
      <c r="D15" s="611"/>
      <c r="E15" s="611"/>
      <c r="F15" s="611"/>
      <c r="G15" s="612" t="s">
        <v>161</v>
      </c>
      <c r="H15" s="612"/>
      <c r="I15" s="612"/>
      <c r="J15" s="612"/>
      <c r="K15" s="612"/>
      <c r="L15" s="615">
        <f>L13/L14</f>
        <v>0</v>
      </c>
      <c r="M15" s="615"/>
      <c r="N15" s="615"/>
      <c r="O15" s="615"/>
      <c r="P15" s="613"/>
      <c r="Q15" s="613"/>
      <c r="R15" s="613"/>
    </row>
    <row r="16" spans="1:18" x14ac:dyDescent="0.2">
      <c r="A16" s="13"/>
      <c r="B16" s="125"/>
      <c r="C16" s="125"/>
      <c r="D16" s="125"/>
      <c r="E16" s="6"/>
      <c r="F16" s="9"/>
      <c r="G16" s="122"/>
      <c r="H16" s="123"/>
      <c r="I16" s="123"/>
      <c r="J16" s="3"/>
    </row>
  </sheetData>
  <mergeCells count="9">
    <mergeCell ref="A1:R1"/>
    <mergeCell ref="A3:A15"/>
    <mergeCell ref="B13:F15"/>
    <mergeCell ref="G13:K13"/>
    <mergeCell ref="P13:R15"/>
    <mergeCell ref="G14:K14"/>
    <mergeCell ref="L14:O14"/>
    <mergeCell ref="G15:K15"/>
    <mergeCell ref="L15:O15"/>
  </mergeCells>
  <dataValidations count="4">
    <dataValidation type="list" allowBlank="1" showInputMessage="1" showErrorMessage="1" sqref="B1:B2 B13:B1048576" xr:uid="{F7515BF2-7860-4BD7-9A40-136F64537DFA}">
      <formula1>"0002"</formula1>
    </dataValidation>
    <dataValidation type="list" allowBlank="1" showInputMessage="1" showErrorMessage="1" sqref="C1:C1048576" xr:uid="{61732D77-11D9-436F-8BC9-89DDEFE88480}">
      <formula1>"2025,2026"</formula1>
    </dataValidation>
    <dataValidation type="list" allowBlank="1" showInputMessage="1" showErrorMessage="1" sqref="D1:D1048576" xr:uid="{EC30B125-874F-4EEB-ADC0-A5AF4DAC5E27}">
      <formula1>"Despesas correntes,Investimento"</formula1>
    </dataValidation>
    <dataValidation type="list" allowBlank="1" showInputMessage="1" showErrorMessage="1" sqref="B3:B12" xr:uid="{0D10C74B-B03D-4029-9467-A3BFB8A82DCB}">
      <formula1>"0003"</formula1>
    </dataValidation>
  </dataValidations>
  <pageMargins left="0.511811024" right="0.511811024" top="0.78740157499999996" bottom="0.78740157499999996" header="0.31496062000000002" footer="0.31496062000000002"/>
  <pageSetup paperSize="8" scale="68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4" operator="containsText" id="{1CA328CF-B2F5-455E-88AB-926D6CDB2A83}">
            <xm:f>NOT(ISERROR(SEARCH(Planilha1!$B$9,P3)))</xm:f>
            <xm:f>Planilha1!$B$9</xm:f>
            <x14:dxf>
              <font>
                <color theme="0"/>
              </font>
              <fill>
                <patternFill patternType="solid">
                  <bgColor theme="9" tint="-0.249977111117893"/>
                </patternFill>
              </fill>
            </x14:dxf>
          </x14:cfRule>
          <x14:cfRule type="containsText" priority="275" operator="containsText" id="{0F3EAF20-D408-44C8-BFAA-65E8319FB544}">
            <xm:f>NOT(ISERROR(SEARCH(Planilha1!$B$8,P3)))</xm:f>
            <xm:f>Planilha1!$B$8</xm:f>
            <x14:dxf>
              <font>
                <color theme="1"/>
              </font>
              <fill>
                <patternFill patternType="solid">
                  <bgColor theme="9" tint="0.39997558519241921"/>
                </patternFill>
              </fill>
            </x14:dxf>
          </x14:cfRule>
          <x14:cfRule type="containsText" priority="276" operator="containsText" id="{2A0DD2C4-1DC1-4A66-9308-BB2918DBB842}">
            <xm:f>NOT(ISERROR(SEARCH(Planilha1!$B$6,P3)))</xm:f>
            <xm:f>Planilha1!$B$6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77" operator="containsText" id="{9DA47F0F-6B50-455F-9007-4288A325B128}">
            <xm:f>NOT(ISERROR(SEARCH(Planilha1!#REF!,P3)))</xm:f>
            <xm:f>Planilha1!#REF!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78" operator="containsText" id="{62405763-77AD-498C-BCEC-FB9AA7109FD4}">
            <xm:f>NOT(ISERROR(SEARCH(Planilha1!#REF!,P3)))</xm:f>
            <xm:f>Planilha1!#REF!</xm:f>
            <x14:dxf>
              <font>
                <color theme="5" tint="-0.499984740745262"/>
              </font>
              <fill>
                <patternFill patternType="solid">
                  <bgColor rgb="FFF4FFB8"/>
                </patternFill>
              </fill>
            </x14:dxf>
          </x14:cfRule>
          <x14:cfRule type="containsText" priority="279" operator="containsText" id="{D76AA7BC-8D77-48D8-AE7E-CE029F69A922}">
            <xm:f>NOT(ISERROR(SEARCH(Planilha1!$B$4,P3)))</xm:f>
            <xm:f>Planilha1!$B$4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280" operator="containsText" id="{19155FAC-986B-4765-9297-7285F0FAB65A}">
            <xm:f>NOT(ISERROR(SEARCH(Planilha1!$B$5,P3)))</xm:f>
            <xm:f>Planilha1!$B$5</xm:f>
            <x14:dxf>
              <font>
                <color rgb="FFC00000"/>
              </font>
              <fill>
                <patternFill patternType="solid">
                  <bgColor rgb="FFFFC7CE"/>
                </patternFill>
              </fill>
            </x14:dxf>
          </x14:cfRule>
          <xm:sqref>P3:Q12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5386A4-475F-4B58-86E4-C1732424AD76}">
          <x14:formula1>
            <xm:f>Planilha1!$B$4:$B$9</xm:f>
          </x14:formula1>
          <xm:sqref>P3:Q12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8AB8-39ED-4D24-A09D-A4B169992DE1}">
  <sheetPr>
    <pageSetUpPr fitToPage="1"/>
  </sheetPr>
  <dimension ref="A1:T9"/>
  <sheetViews>
    <sheetView workbookViewId="0">
      <selection activeCell="L14" sqref="L14"/>
    </sheetView>
  </sheetViews>
  <sheetFormatPr defaultColWidth="8.7109375" defaultRowHeight="26.25" customHeight="1" x14ac:dyDescent="0.4"/>
  <cols>
    <col min="1" max="1" width="8.7109375" style="14"/>
    <col min="2" max="2" width="8.85546875" style="12" bestFit="1" customWidth="1"/>
    <col min="3" max="3" width="13.140625" style="7" customWidth="1"/>
    <col min="4" max="4" width="12.140625" style="7" customWidth="1"/>
    <col min="5" max="5" width="29.28515625" style="4" customWidth="1"/>
    <col min="6" max="6" width="20.140625" style="7" customWidth="1"/>
    <col min="7" max="7" width="16" style="4" customWidth="1"/>
    <col min="8" max="8" width="16.85546875" style="7" customWidth="1"/>
    <col min="9" max="9" width="12.42578125" style="4" customWidth="1"/>
    <col min="10" max="10" width="21.85546875" style="4" bestFit="1" customWidth="1"/>
    <col min="11" max="11" width="14.5703125" style="10" customWidth="1"/>
    <col min="12" max="12" width="15.85546875" style="4" customWidth="1"/>
    <col min="13" max="13" width="15.140625" style="4" bestFit="1" customWidth="1"/>
    <col min="14" max="14" width="15.140625" style="4" customWidth="1"/>
    <col min="15" max="15" width="23.28515625" style="4" customWidth="1"/>
    <col min="16" max="16" width="25.42578125" style="4" customWidth="1"/>
    <col min="17" max="17" width="12.42578125" style="4" hidden="1" customWidth="1"/>
    <col min="18" max="18" width="8.85546875" style="4" hidden="1" customWidth="1"/>
    <col min="19" max="19" width="15.140625" style="4" hidden="1" customWidth="1"/>
    <col min="20" max="20" width="8.85546875" style="4" hidden="1" customWidth="1"/>
    <col min="21" max="21" width="0" style="4" hidden="1" customWidth="1"/>
    <col min="22" max="22" width="12.7109375" style="4" bestFit="1" customWidth="1"/>
    <col min="23" max="23" width="9" style="4" bestFit="1" customWidth="1"/>
    <col min="24" max="16384" width="8.7109375" style="4"/>
  </cols>
  <sheetData>
    <row r="1" spans="1:16" ht="26.25" customHeight="1" x14ac:dyDescent="0.2">
      <c r="A1" s="610" t="s">
        <v>162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</row>
    <row r="2" spans="1:16" ht="26.25" customHeight="1" x14ac:dyDescent="0.2">
      <c r="A2" s="159" t="s">
        <v>1</v>
      </c>
      <c r="B2" s="160" t="s">
        <v>3</v>
      </c>
      <c r="C2" s="159" t="s">
        <v>143</v>
      </c>
      <c r="D2" s="159" t="s">
        <v>144</v>
      </c>
      <c r="E2" s="161" t="s">
        <v>4</v>
      </c>
      <c r="F2" s="161" t="s">
        <v>145</v>
      </c>
      <c r="G2" s="161" t="s">
        <v>146</v>
      </c>
      <c r="H2" s="161" t="s">
        <v>147</v>
      </c>
      <c r="I2" s="161" t="s">
        <v>148</v>
      </c>
      <c r="J2" s="161" t="s">
        <v>149</v>
      </c>
      <c r="K2" s="161" t="s">
        <v>150</v>
      </c>
      <c r="L2" s="162" t="s">
        <v>151</v>
      </c>
      <c r="M2" s="163" t="s">
        <v>81</v>
      </c>
      <c r="N2" s="163" t="s">
        <v>82</v>
      </c>
      <c r="O2" s="163" t="s">
        <v>83</v>
      </c>
      <c r="P2" s="159" t="s">
        <v>152</v>
      </c>
    </row>
    <row r="3" spans="1:16" ht="26.25" customHeight="1" x14ac:dyDescent="0.2">
      <c r="A3" s="609" t="s">
        <v>12</v>
      </c>
      <c r="B3" s="252" t="s">
        <v>14</v>
      </c>
      <c r="C3" s="252"/>
      <c r="D3" s="164"/>
      <c r="E3" s="164"/>
      <c r="F3" s="165"/>
      <c r="G3" s="166"/>
      <c r="H3" s="164"/>
      <c r="I3" s="164"/>
      <c r="J3" s="248"/>
      <c r="K3" s="164"/>
      <c r="L3" s="225"/>
      <c r="M3" s="167"/>
      <c r="N3" s="167"/>
      <c r="O3" s="167"/>
      <c r="P3" s="164"/>
    </row>
    <row r="4" spans="1:16" ht="26.25" customHeight="1" x14ac:dyDescent="0.2">
      <c r="A4" s="609"/>
      <c r="B4" s="252"/>
      <c r="C4" s="252"/>
      <c r="D4" s="164"/>
      <c r="E4" s="164"/>
      <c r="F4" s="165"/>
      <c r="G4" s="166"/>
      <c r="H4" s="164"/>
      <c r="I4" s="164"/>
      <c r="J4" s="248"/>
      <c r="K4" s="164"/>
      <c r="L4" s="225"/>
      <c r="M4" s="167"/>
      <c r="N4" s="167"/>
      <c r="O4" s="167"/>
      <c r="P4" s="164"/>
    </row>
    <row r="5" spans="1:16" ht="26.25" customHeight="1" x14ac:dyDescent="0.2">
      <c r="A5" s="609"/>
      <c r="B5" s="252"/>
      <c r="C5" s="252"/>
      <c r="D5" s="164"/>
      <c r="E5" s="164"/>
      <c r="F5" s="165"/>
      <c r="G5" s="166"/>
      <c r="H5" s="164"/>
      <c r="I5" s="164"/>
      <c r="J5" s="248"/>
      <c r="K5" s="164"/>
      <c r="L5" s="225"/>
      <c r="M5" s="167"/>
      <c r="N5" s="167"/>
      <c r="O5" s="167"/>
      <c r="P5" s="164"/>
    </row>
    <row r="6" spans="1:16" ht="26.25" customHeight="1" x14ac:dyDescent="0.2">
      <c r="A6" s="609"/>
      <c r="B6" s="252"/>
      <c r="C6" s="252"/>
      <c r="D6" s="164"/>
      <c r="E6" s="164"/>
      <c r="F6" s="165"/>
      <c r="G6" s="166"/>
      <c r="H6" s="164"/>
      <c r="I6" s="164"/>
      <c r="J6" s="248"/>
      <c r="K6" s="164"/>
      <c r="L6" s="225"/>
      <c r="M6" s="167"/>
      <c r="N6" s="167"/>
      <c r="O6" s="167"/>
      <c r="P6" s="164"/>
    </row>
    <row r="7" spans="1:16" ht="26.25" customHeight="1" x14ac:dyDescent="0.2">
      <c r="A7" s="609"/>
      <c r="B7" s="611"/>
      <c r="C7" s="611"/>
      <c r="D7" s="611"/>
      <c r="E7" s="611"/>
      <c r="F7" s="611"/>
      <c r="G7" s="612" t="s">
        <v>50</v>
      </c>
      <c r="H7" s="612"/>
      <c r="I7" s="612"/>
      <c r="J7" s="612"/>
      <c r="K7" s="612"/>
      <c r="L7" s="168"/>
      <c r="M7" s="169">
        <f>SUM(M3:M6)</f>
        <v>0</v>
      </c>
      <c r="N7" s="169">
        <f t="shared" ref="N7:O7" si="0">SUM(N3:N6)</f>
        <v>0</v>
      </c>
      <c r="O7" s="169">
        <f t="shared" si="0"/>
        <v>0</v>
      </c>
      <c r="P7" s="617"/>
    </row>
    <row r="8" spans="1:16" ht="26.25" customHeight="1" x14ac:dyDescent="0.2">
      <c r="A8" s="609"/>
      <c r="B8" s="611"/>
      <c r="C8" s="611"/>
      <c r="D8" s="611"/>
      <c r="E8" s="611"/>
      <c r="F8" s="611"/>
      <c r="G8" s="616" t="s">
        <v>160</v>
      </c>
      <c r="H8" s="612"/>
      <c r="I8" s="612"/>
      <c r="J8" s="612"/>
      <c r="K8" s="612"/>
      <c r="L8" s="614">
        <f>'Consolidado 2026'!H57</f>
        <v>0</v>
      </c>
      <c r="M8" s="614"/>
      <c r="N8" s="614"/>
      <c r="O8" s="614"/>
      <c r="P8" s="618"/>
    </row>
    <row r="9" spans="1:16" ht="26.25" customHeight="1" x14ac:dyDescent="0.2">
      <c r="A9" s="609"/>
      <c r="B9" s="611"/>
      <c r="C9" s="611"/>
      <c r="D9" s="611"/>
      <c r="E9" s="611"/>
      <c r="F9" s="611"/>
      <c r="G9" s="612" t="s">
        <v>161</v>
      </c>
      <c r="H9" s="612"/>
      <c r="I9" s="612"/>
      <c r="J9" s="612"/>
      <c r="K9" s="612"/>
      <c r="L9" s="615" t="e">
        <f>L7/L8</f>
        <v>#DIV/0!</v>
      </c>
      <c r="M9" s="615"/>
      <c r="N9" s="615"/>
      <c r="O9" s="615"/>
      <c r="P9" s="619"/>
    </row>
  </sheetData>
  <mergeCells count="9">
    <mergeCell ref="A1:P1"/>
    <mergeCell ref="A3:A9"/>
    <mergeCell ref="B7:F9"/>
    <mergeCell ref="G7:K7"/>
    <mergeCell ref="G8:K8"/>
    <mergeCell ref="L8:O8"/>
    <mergeCell ref="G9:K9"/>
    <mergeCell ref="L9:O9"/>
    <mergeCell ref="P7:P9"/>
  </mergeCells>
  <dataValidations count="3">
    <dataValidation type="list" allowBlank="1" showInputMessage="1" showErrorMessage="1" sqref="B1:B1048576" xr:uid="{746B7BFD-C1E7-42A7-858C-C0BB9E1C0D8A}">
      <formula1>"0000"</formula1>
    </dataValidation>
    <dataValidation type="list" allowBlank="1" showInputMessage="1" showErrorMessage="1" sqref="C1:C1048576" xr:uid="{A29BE5A8-5DC2-421D-AF4B-4F897FC2BC91}">
      <formula1>"2025,2026"</formula1>
    </dataValidation>
    <dataValidation type="list" allowBlank="1" showInputMessage="1" showErrorMessage="1" sqref="D1:D1048576" xr:uid="{690F791F-6AF6-4A2F-B37E-D44465D1F349}">
      <formula1>"Despesas correntes,Investimento"</formula1>
    </dataValidation>
  </dataValidations>
  <pageMargins left="0.511811024" right="0.511811024" top="0.78740157499999996" bottom="0.78740157499999996" header="0.31496062000000002" footer="0.31496062000000002"/>
  <pageSetup paperSize="8" scale="73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1" operator="containsText" id="{10242352-2373-4658-8AEF-CFBDD682FE44}">
            <xm:f>NOT(ISERROR(SEARCH(Planilha1!$B$9,P3)))</xm:f>
            <xm:f>Planilha1!$B$9</xm:f>
            <x14:dxf>
              <font>
                <color theme="0"/>
              </font>
              <fill>
                <patternFill patternType="solid">
                  <bgColor theme="9" tint="-0.249977111117893"/>
                </patternFill>
              </fill>
            </x14:dxf>
          </x14:cfRule>
          <x14:cfRule type="containsText" priority="282" operator="containsText" id="{CE5C1849-7CB8-4767-976A-708BEA5A38DB}">
            <xm:f>NOT(ISERROR(SEARCH(Planilha1!$B$8,P3)))</xm:f>
            <xm:f>Planilha1!$B$8</xm:f>
            <x14:dxf>
              <font>
                <color theme="1"/>
              </font>
              <fill>
                <patternFill patternType="solid">
                  <bgColor theme="9" tint="0.39997558519241921"/>
                </patternFill>
              </fill>
            </x14:dxf>
          </x14:cfRule>
          <x14:cfRule type="containsText" priority="283" operator="containsText" id="{40CCF313-7C77-43CB-A4AC-9321F43933B0}">
            <xm:f>NOT(ISERROR(SEARCH(Planilha1!$B$6,P3)))</xm:f>
            <xm:f>Planilha1!$B$6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84" operator="containsText" id="{659A2E26-93F3-446D-A3AF-481F52146B76}">
            <xm:f>NOT(ISERROR(SEARCH(Planilha1!#REF!,P3)))</xm:f>
            <xm:f>Planilha1!#REF!</xm:f>
            <x14:dxf>
              <font>
                <color theme="1"/>
              </font>
              <fill>
                <patternFill patternType="solid">
                  <bgColor rgb="FFFFFF00"/>
                </patternFill>
              </fill>
            </x14:dxf>
          </x14:cfRule>
          <x14:cfRule type="containsText" priority="285" operator="containsText" id="{C4BC11D3-5D4B-4ECA-9D87-ED8815D42A94}">
            <xm:f>NOT(ISERROR(SEARCH(Planilha1!#REF!,P3)))</xm:f>
            <xm:f>Planilha1!#REF!</xm:f>
            <x14:dxf>
              <font>
                <color theme="5" tint="-0.499984740745262"/>
              </font>
              <fill>
                <patternFill patternType="solid">
                  <bgColor rgb="FFF4FFB8"/>
                </patternFill>
              </fill>
            </x14:dxf>
          </x14:cfRule>
          <x14:cfRule type="containsText" priority="286" operator="containsText" id="{1B164EDC-7F33-48F5-AAB1-B7E2043E4DD8}">
            <xm:f>NOT(ISERROR(SEARCH(Planilha1!$B$4,P3)))</xm:f>
            <xm:f>Planilha1!$B$4</xm:f>
            <x14:dxf>
              <font>
                <color theme="0"/>
              </font>
              <fill>
                <patternFill patternType="solid">
                  <bgColor rgb="FFFF0000"/>
                </patternFill>
              </fill>
            </x14:dxf>
          </x14:cfRule>
          <x14:cfRule type="containsText" priority="287" operator="containsText" id="{39685841-BE63-4C06-BC8E-EB0BD66CE5E8}">
            <xm:f>NOT(ISERROR(SEARCH(Planilha1!$B$5,P3)))</xm:f>
            <xm:f>Planilha1!$B$5</xm:f>
            <x14:dxf>
              <font>
                <color rgb="FFC00000"/>
              </font>
              <fill>
                <patternFill patternType="solid">
                  <bgColor rgb="FFFFC7CE"/>
                </patternFill>
              </fill>
            </x14:dxf>
          </x14:cfRule>
          <xm:sqref>P3:P6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19FE38-0937-452A-8065-28F036EC0D61}">
          <x14:formula1>
            <xm:f>Planilha1!$B$4:$B$9</xm:f>
          </x14:formula1>
          <xm:sqref>P3:P6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19D7-20FA-450E-A706-76EF92DD3902}">
  <dimension ref="B3:D10"/>
  <sheetViews>
    <sheetView workbookViewId="0">
      <selection activeCell="C10" sqref="C10"/>
    </sheetView>
  </sheetViews>
  <sheetFormatPr defaultRowHeight="15" x14ac:dyDescent="0.25"/>
  <cols>
    <col min="2" max="2" width="20.85546875" customWidth="1"/>
  </cols>
  <sheetData>
    <row r="3" spans="2:4" x14ac:dyDescent="0.25">
      <c r="B3" t="s">
        <v>170</v>
      </c>
      <c r="D3" t="s">
        <v>170</v>
      </c>
    </row>
    <row r="4" spans="2:4" x14ac:dyDescent="0.25">
      <c r="B4" s="349" t="s">
        <v>219</v>
      </c>
      <c r="D4" t="s">
        <v>183</v>
      </c>
    </row>
    <row r="5" spans="2:4" x14ac:dyDescent="0.25">
      <c r="B5" s="350" t="s">
        <v>192</v>
      </c>
      <c r="D5" t="s">
        <v>209</v>
      </c>
    </row>
    <row r="6" spans="2:4" x14ac:dyDescent="0.25">
      <c r="B6" s="351" t="s">
        <v>223</v>
      </c>
      <c r="D6" t="s">
        <v>330</v>
      </c>
    </row>
    <row r="7" spans="2:4" x14ac:dyDescent="0.25">
      <c r="B7" s="351" t="s">
        <v>329</v>
      </c>
      <c r="D7" t="s">
        <v>315</v>
      </c>
    </row>
    <row r="8" spans="2:4" x14ac:dyDescent="0.25">
      <c r="B8" s="352" t="s">
        <v>165</v>
      </c>
      <c r="D8" t="s">
        <v>348</v>
      </c>
    </row>
    <row r="9" spans="2:4" x14ac:dyDescent="0.25">
      <c r="B9" s="353" t="s">
        <v>205</v>
      </c>
      <c r="D9" t="s">
        <v>595</v>
      </c>
    </row>
    <row r="10" spans="2:4" x14ac:dyDescent="0.25">
      <c r="D10" t="s">
        <v>596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27D5-DF12-49CD-815E-EF8FC3FA90FA}">
  <dimension ref="A2:G21"/>
  <sheetViews>
    <sheetView workbookViewId="0">
      <selection activeCell="H12" sqref="H12"/>
    </sheetView>
  </sheetViews>
  <sheetFormatPr defaultRowHeight="15" x14ac:dyDescent="0.25"/>
  <cols>
    <col min="1" max="1" width="62.5703125" customWidth="1"/>
    <col min="2" max="2" width="19.28515625" customWidth="1"/>
    <col min="3" max="6" width="18" customWidth="1"/>
  </cols>
  <sheetData>
    <row r="2" spans="1:7" ht="45" x14ac:dyDescent="0.25">
      <c r="A2" s="86" t="s">
        <v>70</v>
      </c>
      <c r="B2" s="86" t="s">
        <v>597</v>
      </c>
      <c r="C2" s="86" t="s">
        <v>67</v>
      </c>
      <c r="D2" s="86" t="s">
        <v>68</v>
      </c>
      <c r="E2" s="86" t="s">
        <v>69</v>
      </c>
      <c r="F2" s="18" t="s">
        <v>598</v>
      </c>
    </row>
    <row r="3" spans="1:7" ht="5.25" customHeight="1" x14ac:dyDescent="0.25">
      <c r="A3" s="57"/>
      <c r="B3" s="57"/>
      <c r="C3" s="57"/>
      <c r="D3" s="57"/>
      <c r="E3" s="57"/>
      <c r="F3" s="57"/>
    </row>
    <row r="4" spans="1:7" x14ac:dyDescent="0.25">
      <c r="A4" s="59" t="s">
        <v>93</v>
      </c>
      <c r="B4" s="60">
        <f>SUBTOTAL(109,B6:B21)</f>
        <v>16712992</v>
      </c>
      <c r="C4" s="60">
        <f>SUBTOTAL(109,C6:C18)</f>
        <v>0</v>
      </c>
      <c r="D4" s="60">
        <f>SUBTOTAL(109,D6:D18)</f>
        <v>0</v>
      </c>
      <c r="E4" s="60">
        <f>SUBTOTAL(109,E6:E18)</f>
        <v>0</v>
      </c>
      <c r="F4" s="35">
        <f>C4/B4</f>
        <v>0</v>
      </c>
    </row>
    <row r="5" spans="1:7" ht="5.25" customHeight="1" x14ac:dyDescent="0.25">
      <c r="A5" s="57"/>
      <c r="B5" s="61"/>
      <c r="C5" s="61"/>
      <c r="D5" s="61"/>
      <c r="E5" s="61"/>
      <c r="F5" s="36"/>
    </row>
    <row r="6" spans="1:7" ht="21.75" customHeight="1" x14ac:dyDescent="0.25">
      <c r="A6" s="62" t="s">
        <v>94</v>
      </c>
      <c r="B6" s="63">
        <f>SUBTOTAL(109,B7:B12)</f>
        <v>3637992</v>
      </c>
      <c r="C6" s="63">
        <f>SUBTOTAL(109,C7:C12)</f>
        <v>0</v>
      </c>
      <c r="D6" s="63">
        <f>SUBTOTAL(109,D7:D12)</f>
        <v>0</v>
      </c>
      <c r="E6" s="63">
        <f>SUBTOTAL(109,E7:E12)</f>
        <v>0</v>
      </c>
      <c r="F6" s="37">
        <f t="shared" ref="F6:F15" si="0">C6/B6</f>
        <v>0</v>
      </c>
    </row>
    <row r="7" spans="1:7" ht="27.75" customHeight="1" x14ac:dyDescent="0.25">
      <c r="A7" s="64" t="s">
        <v>599</v>
      </c>
      <c r="B7" s="65">
        <f>SUBTOTAL(109,B8:B8)</f>
        <v>0</v>
      </c>
      <c r="C7" s="65">
        <f>SUBTOTAL(109,C8:C8)</f>
        <v>0</v>
      </c>
      <c r="D7" s="65">
        <f>SUBTOTAL(109,D8:D8)</f>
        <v>0</v>
      </c>
      <c r="E7" s="65">
        <f>SUBTOTAL(109,E8:E8)</f>
        <v>0</v>
      </c>
      <c r="F7" s="38" t="e">
        <f t="shared" si="0"/>
        <v>#DIV/0!</v>
      </c>
    </row>
    <row r="8" spans="1:7" ht="44.25" customHeight="1" x14ac:dyDescent="0.25">
      <c r="A8" s="66" t="s">
        <v>600</v>
      </c>
      <c r="B8" s="58"/>
      <c r="C8" s="58"/>
      <c r="D8" s="58"/>
      <c r="E8" s="58"/>
      <c r="F8" s="39" t="e">
        <f t="shared" si="0"/>
        <v>#DIV/0!</v>
      </c>
    </row>
    <row r="9" spans="1:7" ht="31.5" customHeight="1" x14ac:dyDescent="0.25">
      <c r="A9" s="64" t="s">
        <v>601</v>
      </c>
      <c r="B9" s="65">
        <f>SUBTOTAL(109,B10:B10)</f>
        <v>0</v>
      </c>
      <c r="C9" s="65">
        <f>SUBTOTAL(109,C10:C10)</f>
        <v>0</v>
      </c>
      <c r="D9" s="65">
        <f>SUBTOTAL(109,D10:D10)</f>
        <v>0</v>
      </c>
      <c r="E9" s="65">
        <f>SUBTOTAL(109,E10:E10)</f>
        <v>0</v>
      </c>
      <c r="F9" s="38" t="e">
        <f t="shared" si="0"/>
        <v>#DIV/0!</v>
      </c>
    </row>
    <row r="10" spans="1:7" ht="44.25" customHeight="1" x14ac:dyDescent="0.25">
      <c r="A10" s="66" t="s">
        <v>602</v>
      </c>
      <c r="B10" s="58"/>
      <c r="C10" s="58"/>
      <c r="D10" s="58"/>
      <c r="E10" s="58"/>
      <c r="F10" s="39" t="e">
        <f t="shared" si="0"/>
        <v>#DIV/0!</v>
      </c>
    </row>
    <row r="11" spans="1:7" ht="36" customHeight="1" x14ac:dyDescent="0.25">
      <c r="A11" s="64" t="s">
        <v>100</v>
      </c>
      <c r="B11" s="65">
        <f>SUBTOTAL(109,B12:B12)</f>
        <v>3637992</v>
      </c>
      <c r="C11" s="65">
        <f>SUBTOTAL(109,C12:C12)</f>
        <v>0</v>
      </c>
      <c r="D11" s="65">
        <f>SUBTOTAL(109,D12:D12)</f>
        <v>0</v>
      </c>
      <c r="E11" s="65">
        <f>SUBTOTAL(109,E12:E12)</f>
        <v>0</v>
      </c>
      <c r="F11" s="38">
        <f t="shared" si="0"/>
        <v>0</v>
      </c>
    </row>
    <row r="12" spans="1:7" ht="36" customHeight="1" x14ac:dyDescent="0.25">
      <c r="A12" s="66" t="s">
        <v>101</v>
      </c>
      <c r="B12" s="58">
        <v>3637992</v>
      </c>
      <c r="C12" s="58"/>
      <c r="D12" s="58"/>
      <c r="E12" s="58"/>
      <c r="F12" s="39">
        <f t="shared" si="0"/>
        <v>0</v>
      </c>
    </row>
    <row r="13" spans="1:7" x14ac:dyDescent="0.25">
      <c r="A13" s="62" t="s">
        <v>108</v>
      </c>
      <c r="B13" s="63">
        <f>SUBTOTAL(109,B14:B15)</f>
        <v>3925000</v>
      </c>
      <c r="C13" s="63">
        <f>SUBTOTAL(109,C14:C15)</f>
        <v>0</v>
      </c>
      <c r="D13" s="63">
        <f>SUBTOTAL(109,D14:D15)</f>
        <v>0</v>
      </c>
      <c r="E13" s="63">
        <f>SUBTOTAL(109,E14:E15)</f>
        <v>0</v>
      </c>
      <c r="F13" s="37">
        <f t="shared" si="0"/>
        <v>0</v>
      </c>
    </row>
    <row r="14" spans="1:7" ht="38.25" customHeight="1" x14ac:dyDescent="0.25">
      <c r="A14" s="64" t="s">
        <v>109</v>
      </c>
      <c r="B14" s="65">
        <f>SUBTOTAL(109,B15:B15)</f>
        <v>3925000</v>
      </c>
      <c r="C14" s="65">
        <f>SUBTOTAL(109,C15:C15)</f>
        <v>0</v>
      </c>
      <c r="D14" s="65">
        <f>SUBTOTAL(109,D15:D15)</f>
        <v>0</v>
      </c>
      <c r="E14" s="65">
        <f>SUBTOTAL(109,E15:E15)</f>
        <v>0</v>
      </c>
      <c r="F14" s="38">
        <f t="shared" si="0"/>
        <v>0</v>
      </c>
      <c r="G14" t="s">
        <v>603</v>
      </c>
    </row>
    <row r="15" spans="1:7" ht="44.25" customHeight="1" x14ac:dyDescent="0.25">
      <c r="A15" s="66" t="s">
        <v>110</v>
      </c>
      <c r="B15" s="58">
        <v>3925000</v>
      </c>
      <c r="C15" s="58"/>
      <c r="D15" s="58"/>
      <c r="E15" s="58"/>
      <c r="F15" s="39">
        <f t="shared" si="0"/>
        <v>0</v>
      </c>
    </row>
    <row r="16" spans="1:7" x14ac:dyDescent="0.25">
      <c r="A16" s="62" t="s">
        <v>114</v>
      </c>
      <c r="B16" s="63">
        <f>SUBTOTAL(109,B17:B18)</f>
        <v>4250000</v>
      </c>
      <c r="C16" s="63">
        <f>SUBTOTAL(109,C17:C18)</f>
        <v>0</v>
      </c>
      <c r="D16" s="63">
        <f>SUBTOTAL(109,D17:D18)</f>
        <v>0</v>
      </c>
      <c r="E16" s="63">
        <f>SUBTOTAL(109,E17:E18)</f>
        <v>0</v>
      </c>
      <c r="F16" s="37">
        <f t="shared" ref="F16:F21" si="1">C16/B16</f>
        <v>0</v>
      </c>
    </row>
    <row r="17" spans="1:6" ht="44.25" customHeight="1" x14ac:dyDescent="0.25">
      <c r="A17" s="64" t="s">
        <v>115</v>
      </c>
      <c r="B17" s="65">
        <f>SUBTOTAL(109,B18:B18)</f>
        <v>4250000</v>
      </c>
      <c r="C17" s="65">
        <f>SUBTOTAL(109,C18:C18)</f>
        <v>0</v>
      </c>
      <c r="D17" s="65">
        <f>SUBTOTAL(109,D18:D18)</f>
        <v>0</v>
      </c>
      <c r="E17" s="65">
        <f>SUBTOTAL(109,E18:E18)</f>
        <v>0</v>
      </c>
      <c r="F17" s="38">
        <f t="shared" si="1"/>
        <v>0</v>
      </c>
    </row>
    <row r="18" spans="1:6" ht="44.25" customHeight="1" x14ac:dyDescent="0.25">
      <c r="A18" s="66" t="s">
        <v>116</v>
      </c>
      <c r="B18" s="58">
        <v>4250000</v>
      </c>
      <c r="C18" s="58"/>
      <c r="D18" s="58"/>
      <c r="E18" s="58"/>
      <c r="F18" s="39">
        <f t="shared" si="1"/>
        <v>0</v>
      </c>
    </row>
    <row r="19" spans="1:6" x14ac:dyDescent="0.25">
      <c r="A19" s="62" t="s">
        <v>114</v>
      </c>
      <c r="B19" s="63">
        <f>SUBTOTAL(109,B20:B21)</f>
        <v>4900000</v>
      </c>
      <c r="C19" s="63">
        <f>SUBTOTAL(109,C20:C21)</f>
        <v>0</v>
      </c>
      <c r="D19" s="63">
        <f>SUBTOTAL(109,D20:D21)</f>
        <v>0</v>
      </c>
      <c r="E19" s="63">
        <f>SUBTOTAL(109,E20:E21)</f>
        <v>0</v>
      </c>
      <c r="F19" s="37">
        <f t="shared" si="1"/>
        <v>0</v>
      </c>
    </row>
    <row r="20" spans="1:6" ht="45" x14ac:dyDescent="0.25">
      <c r="A20" s="64" t="s">
        <v>604</v>
      </c>
      <c r="B20" s="65">
        <f>SUBTOTAL(109,B21:B21)</f>
        <v>4900000</v>
      </c>
      <c r="C20" s="65">
        <f>SUBTOTAL(109,C21:C21)</f>
        <v>0</v>
      </c>
      <c r="D20" s="65">
        <f>SUBTOTAL(109,D21:D21)</f>
        <v>0</v>
      </c>
      <c r="E20" s="65">
        <f>SUBTOTAL(109,E21:E21)</f>
        <v>0</v>
      </c>
      <c r="F20" s="38">
        <f t="shared" si="1"/>
        <v>0</v>
      </c>
    </row>
    <row r="21" spans="1:6" ht="30" x14ac:dyDescent="0.25">
      <c r="A21" s="66" t="s">
        <v>605</v>
      </c>
      <c r="B21" s="58">
        <v>4900000</v>
      </c>
      <c r="C21" s="58"/>
      <c r="D21" s="58"/>
      <c r="E21" s="58"/>
      <c r="F21" s="39">
        <f t="shared" si="1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C824-6ECE-4807-B4C4-F8B48D95BA75}">
  <dimension ref="A1:P94"/>
  <sheetViews>
    <sheetView workbookViewId="0">
      <pane ySplit="1" topLeftCell="A2" activePane="bottomLeft" state="frozen"/>
      <selection pane="bottomLeft" activeCell="G93" sqref="G93"/>
    </sheetView>
  </sheetViews>
  <sheetFormatPr defaultRowHeight="15" x14ac:dyDescent="0.25"/>
  <cols>
    <col min="1" max="1" width="35.42578125" customWidth="1"/>
    <col min="2" max="2" width="15.28515625" customWidth="1"/>
    <col min="3" max="3" width="21" customWidth="1"/>
    <col min="4" max="7" width="19.5703125" customWidth="1"/>
    <col min="8" max="8" width="19.5703125" hidden="1" customWidth="1"/>
    <col min="11" max="11" width="28" style="371" customWidth="1"/>
    <col min="12" max="12" width="21.28515625" style="371" customWidth="1"/>
    <col min="13" max="13" width="28" style="371" customWidth="1"/>
    <col min="14" max="14" width="26.140625" style="371" customWidth="1"/>
    <col min="15" max="15" width="22.140625" style="371" customWidth="1"/>
  </cols>
  <sheetData>
    <row r="1" spans="1:16" ht="46.5" customHeight="1" x14ac:dyDescent="0.25">
      <c r="A1" s="267"/>
      <c r="B1" s="268" t="s">
        <v>461</v>
      </c>
      <c r="C1" s="269" t="s">
        <v>462</v>
      </c>
      <c r="D1" s="269" t="s">
        <v>463</v>
      </c>
      <c r="E1" s="269" t="s">
        <v>464</v>
      </c>
      <c r="F1" s="269" t="s">
        <v>465</v>
      </c>
      <c r="G1" s="269" t="s">
        <v>466</v>
      </c>
      <c r="H1" s="367"/>
    </row>
    <row r="2" spans="1:16" ht="15.75" thickBot="1" x14ac:dyDescent="0.3">
      <c r="A2" s="271"/>
      <c r="B2" s="272"/>
      <c r="C2" s="273"/>
      <c r="D2" s="274"/>
      <c r="E2" s="275"/>
      <c r="F2" s="276"/>
      <c r="G2" s="276" t="s">
        <v>606</v>
      </c>
      <c r="H2" s="265"/>
    </row>
    <row r="3" spans="1:16" ht="30.75" thickBot="1" x14ac:dyDescent="0.3">
      <c r="A3" s="662" t="s">
        <v>93</v>
      </c>
      <c r="B3" s="662"/>
      <c r="C3" s="662"/>
      <c r="D3" s="277">
        <f>SUBTOTAL(109,D4:D94)</f>
        <v>10023306.1</v>
      </c>
      <c r="E3" s="277">
        <f>SUBTOTAL(109,E4:E94)</f>
        <v>8054722.419999999</v>
      </c>
      <c r="F3" s="277">
        <f>SUBTOTAL(109,F4:F94)</f>
        <v>1968583.6800000004</v>
      </c>
      <c r="G3" s="279">
        <f>E3/D3</f>
        <v>0.80359936528327702</v>
      </c>
      <c r="H3" s="368"/>
      <c r="K3" s="375" t="s">
        <v>607</v>
      </c>
      <c r="L3" s="376" t="s">
        <v>608</v>
      </c>
      <c r="M3" s="376" t="s">
        <v>609</v>
      </c>
      <c r="N3" s="376" t="s">
        <v>610</v>
      </c>
    </row>
    <row r="4" spans="1:16" x14ac:dyDescent="0.25">
      <c r="A4" s="280"/>
      <c r="B4" s="281"/>
      <c r="C4" s="55"/>
      <c r="D4" s="281"/>
      <c r="E4" s="282"/>
      <c r="F4" s="282"/>
      <c r="G4" s="283"/>
      <c r="H4" s="339"/>
      <c r="K4" s="373" t="s">
        <v>611</v>
      </c>
      <c r="L4" s="374">
        <v>300000</v>
      </c>
      <c r="M4" s="374">
        <v>239426.4</v>
      </c>
      <c r="N4" s="374">
        <v>60573.599999999999</v>
      </c>
      <c r="O4" s="372" t="str">
        <f t="shared" ref="O4:O30" si="0">IF(ISERROR(VLOOKUP(K4,C:C,1,0)),"NÃO ENCONTRADO","OK")</f>
        <v>OK</v>
      </c>
      <c r="P4" s="393"/>
    </row>
    <row r="5" spans="1:16" x14ac:dyDescent="0.25">
      <c r="A5" s="665" t="s">
        <v>12</v>
      </c>
      <c r="B5" s="665"/>
      <c r="C5" s="665"/>
      <c r="D5" s="284">
        <f>SUBTOTAL(109,D6:D16)</f>
        <v>1365000</v>
      </c>
      <c r="E5" s="285">
        <f>SUBTOTAL(109,E6:E16)</f>
        <v>1071110.4000000001</v>
      </c>
      <c r="F5" s="285">
        <f>SUBTOTAL(109,F6:F16)</f>
        <v>293889.59999999998</v>
      </c>
      <c r="G5" s="286">
        <f t="shared" ref="G5:G37" si="1">E5/D5</f>
        <v>0.78469626373626389</v>
      </c>
      <c r="H5" s="369"/>
      <c r="K5" s="373" t="s">
        <v>612</v>
      </c>
      <c r="L5" s="374">
        <v>350000</v>
      </c>
      <c r="M5" s="374">
        <v>260611.05</v>
      </c>
      <c r="N5" s="374">
        <v>89388.95</v>
      </c>
      <c r="O5" s="372" t="str">
        <f t="shared" si="0"/>
        <v>OK</v>
      </c>
    </row>
    <row r="6" spans="1:16" x14ac:dyDescent="0.25">
      <c r="A6" s="656" t="s">
        <v>468</v>
      </c>
      <c r="B6" s="656"/>
      <c r="C6" s="656"/>
      <c r="D6" s="228">
        <f>SUBTOTAL(109,D7)</f>
        <v>180000</v>
      </c>
      <c r="E6" s="229">
        <f>SUBTOTAL(109,E7)</f>
        <v>142105.04999999999</v>
      </c>
      <c r="F6" s="229">
        <f>SUBTOTAL(109,F7)</f>
        <v>37894.949999999997</v>
      </c>
      <c r="G6" s="230">
        <f t="shared" si="1"/>
        <v>0.78947249999999991</v>
      </c>
      <c r="H6" s="370"/>
      <c r="K6" s="373" t="s">
        <v>613</v>
      </c>
      <c r="L6" s="374">
        <v>145000</v>
      </c>
      <c r="M6" s="374">
        <v>73832.5</v>
      </c>
      <c r="N6" s="374">
        <v>71167.5</v>
      </c>
      <c r="O6" s="372" t="str">
        <f t="shared" si="0"/>
        <v>OK</v>
      </c>
    </row>
    <row r="7" spans="1:16" x14ac:dyDescent="0.25">
      <c r="A7" s="50" t="s">
        <v>470</v>
      </c>
      <c r="B7" s="288">
        <v>2000</v>
      </c>
      <c r="C7" s="289" t="s">
        <v>614</v>
      </c>
      <c r="D7" s="290">
        <f>IF(ISERROR(VLOOKUP(C7,K:L,2,0)),"",VLOOKUP(C7,K:L,2,0))</f>
        <v>180000</v>
      </c>
      <c r="E7" s="234">
        <f>IF(ISERROR(VLOOKUP(C7,K:M,3,0)),"",VLOOKUP(C7,K:M,3,0))</f>
        <v>142105.04999999999</v>
      </c>
      <c r="F7" s="234">
        <f>IF(ISERROR(VLOOKUP(C7,K:N,3,0)),"",VLOOKUP(C7,K:N,4,0))</f>
        <v>37894.949999999997</v>
      </c>
      <c r="G7" s="237">
        <f t="shared" si="1"/>
        <v>0.78947249999999991</v>
      </c>
      <c r="H7" s="339"/>
      <c r="K7" s="551" t="s">
        <v>614</v>
      </c>
      <c r="L7" s="374">
        <v>180000</v>
      </c>
      <c r="M7" s="374">
        <v>142105.04999999999</v>
      </c>
      <c r="N7" s="374">
        <v>37894.949999999997</v>
      </c>
      <c r="O7" s="372" t="str">
        <f t="shared" si="0"/>
        <v>OK</v>
      </c>
    </row>
    <row r="8" spans="1:16" x14ac:dyDescent="0.25">
      <c r="A8" s="656" t="s">
        <v>473</v>
      </c>
      <c r="B8" s="656"/>
      <c r="C8" s="656"/>
      <c r="D8" s="291">
        <f>SUBTOTAL(109,D9)</f>
        <v>160000</v>
      </c>
      <c r="E8" s="292">
        <f>SUBTOTAL(109,E9)</f>
        <v>76443.69</v>
      </c>
      <c r="F8" s="292">
        <f>SUBTOTAL(109,F9)</f>
        <v>83556.31</v>
      </c>
      <c r="G8" s="293">
        <f t="shared" si="1"/>
        <v>0.47777306250000001</v>
      </c>
      <c r="H8" s="370"/>
      <c r="K8" s="373" t="s">
        <v>615</v>
      </c>
      <c r="L8" s="374">
        <v>125000</v>
      </c>
      <c r="M8" s="374">
        <v>78172.5</v>
      </c>
      <c r="N8" s="374">
        <v>46827.5</v>
      </c>
      <c r="O8" s="372" t="str">
        <f t="shared" si="0"/>
        <v>OK</v>
      </c>
    </row>
    <row r="9" spans="1:16" x14ac:dyDescent="0.25">
      <c r="A9" s="53" t="s">
        <v>474</v>
      </c>
      <c r="B9" s="294">
        <v>2000</v>
      </c>
      <c r="C9" s="295" t="s">
        <v>616</v>
      </c>
      <c r="D9" s="290">
        <f>IF(ISERROR(VLOOKUP(C9,K:L,2,0)),"",VLOOKUP(C9,K:L,2,0))</f>
        <v>160000</v>
      </c>
      <c r="E9" s="234">
        <f>IF(ISERROR(VLOOKUP(C9,K:M,3,0)),"",VLOOKUP(C9,K:M,3,0))</f>
        <v>76443.69</v>
      </c>
      <c r="F9" s="234">
        <f>IF(ISERROR(VLOOKUP(C9,K:N,3,0)),"",VLOOKUP(C9,K:N,4,0))</f>
        <v>83556.31</v>
      </c>
      <c r="G9" s="237">
        <f t="shared" si="1"/>
        <v>0.47777306250000001</v>
      </c>
      <c r="H9" s="339"/>
      <c r="K9" s="373" t="s">
        <v>617</v>
      </c>
      <c r="L9" s="374">
        <v>245000</v>
      </c>
      <c r="M9" s="374">
        <v>219695</v>
      </c>
      <c r="N9" s="374">
        <v>25305</v>
      </c>
      <c r="O9" s="372" t="str">
        <f t="shared" si="0"/>
        <v>OK</v>
      </c>
    </row>
    <row r="10" spans="1:16" x14ac:dyDescent="0.25">
      <c r="A10" s="656" t="s">
        <v>476</v>
      </c>
      <c r="B10" s="656"/>
      <c r="C10" s="656"/>
      <c r="D10" s="291">
        <f>SUBTOTAL(109,D11:D12)</f>
        <v>630000</v>
      </c>
      <c r="E10" s="292">
        <f>SUBTOTAL(109,E11:E12)</f>
        <v>564595.11</v>
      </c>
      <c r="F10" s="292">
        <f>SUBTOTAL(109,F11:F12)</f>
        <v>65404.89</v>
      </c>
      <c r="G10" s="293">
        <f t="shared" si="1"/>
        <v>0.89618271428571428</v>
      </c>
      <c r="H10" s="370"/>
      <c r="K10" s="373" t="s">
        <v>618</v>
      </c>
      <c r="L10" s="374">
        <v>270000</v>
      </c>
      <c r="M10" s="374">
        <v>247800</v>
      </c>
      <c r="N10" s="374">
        <v>22200</v>
      </c>
      <c r="O10" s="372" t="str">
        <f t="shared" si="0"/>
        <v>OK</v>
      </c>
    </row>
    <row r="11" spans="1:16" x14ac:dyDescent="0.25">
      <c r="A11" s="205" t="s">
        <v>477</v>
      </c>
      <c r="B11" s="288">
        <v>2000</v>
      </c>
      <c r="C11" s="289" t="s">
        <v>619</v>
      </c>
      <c r="D11" s="290">
        <f>IF(ISERROR(VLOOKUP(C11,K:L,2,0)),"",VLOOKUP(C11,K:L,2,0))</f>
        <v>150000</v>
      </c>
      <c r="E11" s="234">
        <f>IF(ISERROR(VLOOKUP(C11,K:M,3,0)),"",VLOOKUP(C11,K:M,3,0))</f>
        <v>104895.83</v>
      </c>
      <c r="F11" s="234">
        <f>IF(ISERROR(VLOOKUP(C11,K:N,3,0)),"",VLOOKUP(C11,K:N,4,0))</f>
        <v>45104.17</v>
      </c>
      <c r="G11" s="237">
        <f t="shared" si="1"/>
        <v>0.69930553333333334</v>
      </c>
      <c r="H11" s="339"/>
      <c r="K11" s="373" t="s">
        <v>620</v>
      </c>
      <c r="L11" s="374">
        <v>25000</v>
      </c>
      <c r="M11" s="374">
        <v>16449.27</v>
      </c>
      <c r="N11" s="374">
        <v>8550.73</v>
      </c>
      <c r="O11" s="372" t="str">
        <f t="shared" si="0"/>
        <v>OK</v>
      </c>
    </row>
    <row r="12" spans="1:16" x14ac:dyDescent="0.25">
      <c r="A12" s="205" t="s">
        <v>477</v>
      </c>
      <c r="B12" s="288">
        <v>2000</v>
      </c>
      <c r="C12" s="312" t="s">
        <v>621</v>
      </c>
      <c r="D12" s="290">
        <f>IF(ISERROR(VLOOKUP(C12,K:L,2,0)),"",VLOOKUP(C12,K:L,2,0))</f>
        <v>480000</v>
      </c>
      <c r="E12" s="234">
        <f>IF(ISERROR(VLOOKUP(C12,K:M,3,0)),"",VLOOKUP(C12,K:M,3,0))</f>
        <v>459699.28</v>
      </c>
      <c r="F12" s="234">
        <f>IF(ISERROR(VLOOKUP(C12,K:N,3,0)),"",VLOOKUP(C12,K:N,4,0))</f>
        <v>20300.72</v>
      </c>
      <c r="G12" s="237">
        <f t="shared" si="1"/>
        <v>0.9577068333333334</v>
      </c>
      <c r="H12" s="339"/>
      <c r="K12" s="373" t="s">
        <v>622</v>
      </c>
      <c r="L12" s="374">
        <v>270000</v>
      </c>
      <c r="M12" s="374">
        <v>212337.65</v>
      </c>
      <c r="N12" s="374">
        <v>57662.35</v>
      </c>
      <c r="O12" s="372" t="str">
        <f t="shared" si="0"/>
        <v>OK</v>
      </c>
    </row>
    <row r="13" spans="1:16" x14ac:dyDescent="0.25">
      <c r="A13" s="679" t="s">
        <v>480</v>
      </c>
      <c r="B13" s="679"/>
      <c r="C13" s="679"/>
      <c r="D13" s="291">
        <f>SUBTOTAL(109,D14)</f>
        <v>270000</v>
      </c>
      <c r="E13" s="292">
        <f>SUBTOTAL(109,E14)</f>
        <v>209794.05</v>
      </c>
      <c r="F13" s="292">
        <f>SUBTOTAL(109,F14)</f>
        <v>60205.95</v>
      </c>
      <c r="G13" s="293">
        <f t="shared" si="1"/>
        <v>0.77701500000000001</v>
      </c>
      <c r="H13" s="370"/>
      <c r="K13" s="373" t="s">
        <v>623</v>
      </c>
      <c r="L13" s="374">
        <v>110000</v>
      </c>
      <c r="M13" s="374">
        <v>54637.5</v>
      </c>
      <c r="N13" s="374">
        <v>55362.5</v>
      </c>
      <c r="O13" s="372" t="str">
        <f t="shared" si="0"/>
        <v>OK</v>
      </c>
    </row>
    <row r="14" spans="1:16" x14ac:dyDescent="0.25">
      <c r="A14" s="51" t="s">
        <v>481</v>
      </c>
      <c r="B14" s="288">
        <v>2000</v>
      </c>
      <c r="C14" s="299" t="s">
        <v>624</v>
      </c>
      <c r="D14" s="290">
        <f>IF(ISERROR(VLOOKUP(C14,K:L,2,0)),"",VLOOKUP(C14,K:L,2,0))</f>
        <v>270000</v>
      </c>
      <c r="E14" s="234">
        <f>IF(ISERROR(VLOOKUP(C14,K:M,3,0)),"",VLOOKUP(C14,K:M,3,0))</f>
        <v>209794.05</v>
      </c>
      <c r="F14" s="234">
        <f>IF(ISERROR(VLOOKUP(C14,K:N,3,0)),"",VLOOKUP(C14,K:N,4,0))</f>
        <v>60205.95</v>
      </c>
      <c r="G14" s="301">
        <f t="shared" si="1"/>
        <v>0.77701500000000001</v>
      </c>
      <c r="H14" s="339"/>
      <c r="K14" s="373" t="s">
        <v>625</v>
      </c>
      <c r="L14" s="374">
        <v>110000</v>
      </c>
      <c r="M14" s="374">
        <v>21267.4</v>
      </c>
      <c r="N14" s="374">
        <v>88732.6</v>
      </c>
      <c r="O14" s="372" t="str">
        <f t="shared" si="0"/>
        <v>OK</v>
      </c>
    </row>
    <row r="15" spans="1:16" x14ac:dyDescent="0.25">
      <c r="A15" s="656" t="s">
        <v>483</v>
      </c>
      <c r="B15" s="656"/>
      <c r="C15" s="656"/>
      <c r="D15" s="302">
        <f>SUBTOTAL(109,D16)</f>
        <v>125000</v>
      </c>
      <c r="E15" s="302">
        <f>SUBTOTAL(109,E16)</f>
        <v>78172.5</v>
      </c>
      <c r="F15" s="302">
        <f>SUBTOTAL(109,F16:F16)</f>
        <v>46827.5</v>
      </c>
      <c r="G15" s="303">
        <f t="shared" si="1"/>
        <v>0.62538000000000005</v>
      </c>
      <c r="H15" s="370"/>
      <c r="K15" s="373" t="s">
        <v>626</v>
      </c>
      <c r="L15" s="374">
        <v>60000</v>
      </c>
      <c r="M15" s="374">
        <v>59500</v>
      </c>
      <c r="N15" s="374">
        <v>500</v>
      </c>
      <c r="O15" s="372" t="str">
        <f t="shared" si="0"/>
        <v>OK</v>
      </c>
    </row>
    <row r="16" spans="1:16" ht="30" x14ac:dyDescent="0.25">
      <c r="A16" s="54" t="s">
        <v>484</v>
      </c>
      <c r="B16" s="288">
        <v>2000</v>
      </c>
      <c r="C16" s="304" t="s">
        <v>615</v>
      </c>
      <c r="D16" s="290">
        <f>IF(ISERROR(VLOOKUP(C16,K:L,2,0)),"",VLOOKUP(C16,K:L,2,0))</f>
        <v>125000</v>
      </c>
      <c r="E16" s="234">
        <f>IF(ISERROR(VLOOKUP(C16,K:M,3,0)),"",VLOOKUP(C16,K:M,3,0))</f>
        <v>78172.5</v>
      </c>
      <c r="F16" s="234">
        <f>IF(ISERROR(VLOOKUP(C16,K:N,3,0)),"",VLOOKUP(C16,K:N,4,0))</f>
        <v>46827.5</v>
      </c>
      <c r="G16" s="283">
        <f t="shared" si="1"/>
        <v>0.62538000000000005</v>
      </c>
      <c r="H16" s="339"/>
      <c r="K16" s="373" t="s">
        <v>627</v>
      </c>
      <c r="L16" s="374">
        <v>110000</v>
      </c>
      <c r="M16" s="374">
        <v>51137.1</v>
      </c>
      <c r="N16" s="374">
        <v>58862.9</v>
      </c>
      <c r="O16" s="372" t="str">
        <f t="shared" si="0"/>
        <v>OK</v>
      </c>
    </row>
    <row r="17" spans="1:15" x14ac:dyDescent="0.25">
      <c r="A17" s="665" t="s">
        <v>628</v>
      </c>
      <c r="B17" s="665"/>
      <c r="C17" s="665"/>
      <c r="D17" s="284">
        <f>SUBTOTAL(109,D18:D36)</f>
        <v>2699000</v>
      </c>
      <c r="E17" s="284">
        <f>SUBTOTAL(109,E18:E36)</f>
        <v>2247510.27</v>
      </c>
      <c r="F17" s="284">
        <f>SUBTOTAL(109,F18:F36)</f>
        <v>451489.73</v>
      </c>
      <c r="G17" s="286">
        <f t="shared" si="1"/>
        <v>0.83271962578732861</v>
      </c>
      <c r="H17" s="369"/>
      <c r="K17" s="373" t="s">
        <v>629</v>
      </c>
      <c r="L17" s="374">
        <v>60000</v>
      </c>
      <c r="M17" s="374">
        <v>25410</v>
      </c>
      <c r="N17" s="374">
        <v>34590</v>
      </c>
      <c r="O17" s="372" t="str">
        <f t="shared" si="0"/>
        <v>OK</v>
      </c>
    </row>
    <row r="18" spans="1:15" x14ac:dyDescent="0.25">
      <c r="A18" s="686" t="s">
        <v>491</v>
      </c>
      <c r="B18" s="686"/>
      <c r="C18" s="686"/>
      <c r="D18" s="302">
        <f>SUBTOTAL(109,D19:D20)</f>
        <v>20000</v>
      </c>
      <c r="E18" s="302">
        <f>SUBTOTAL(109,E19:E20)</f>
        <v>16803.05</v>
      </c>
      <c r="F18" s="302">
        <f>SUBTOTAL(109,F19:F20)</f>
        <v>3196.95</v>
      </c>
      <c r="G18" s="303">
        <f t="shared" si="1"/>
        <v>0.84015249999999997</v>
      </c>
      <c r="H18" s="370"/>
      <c r="K18" s="373" t="s">
        <v>630</v>
      </c>
      <c r="L18" s="374">
        <v>295000</v>
      </c>
      <c r="M18" s="374">
        <v>227526.16</v>
      </c>
      <c r="N18" s="374">
        <v>67473.84</v>
      </c>
      <c r="O18" s="372" t="str">
        <f t="shared" si="0"/>
        <v>OK</v>
      </c>
    </row>
    <row r="19" spans="1:15" x14ac:dyDescent="0.25">
      <c r="A19" s="676" t="s">
        <v>492</v>
      </c>
      <c r="B19" s="346">
        <v>2000</v>
      </c>
      <c r="C19" s="552" t="s">
        <v>631</v>
      </c>
      <c r="D19" s="290">
        <f>IF(ISERROR(VLOOKUP(C19,K:L,2,0)),"",VLOOKUP(C19,K:L,2,0))</f>
        <v>20000</v>
      </c>
      <c r="E19" s="234">
        <f>IF(ISERROR(VLOOKUP(C19,K:M,3,0)),"",VLOOKUP(C19,K:M,3,0))</f>
        <v>16803.05</v>
      </c>
      <c r="F19" s="234">
        <f>IF(ISERROR(VLOOKUP(C19,K:N,3,0)),"",VLOOKUP(C19,K:N,4,0))</f>
        <v>3196.95</v>
      </c>
      <c r="G19" s="283">
        <f t="shared" si="1"/>
        <v>0.84015249999999997</v>
      </c>
      <c r="H19" s="339"/>
      <c r="K19" s="373" t="s">
        <v>632</v>
      </c>
      <c r="L19" s="374">
        <v>215000</v>
      </c>
      <c r="M19" s="374">
        <v>155870</v>
      </c>
      <c r="N19" s="374">
        <v>59130</v>
      </c>
      <c r="O19" s="372" t="str">
        <f t="shared" si="0"/>
        <v>OK</v>
      </c>
    </row>
    <row r="20" spans="1:15" x14ac:dyDescent="0.25">
      <c r="A20" s="676"/>
      <c r="B20" s="346">
        <v>2000</v>
      </c>
      <c r="C20" s="304"/>
      <c r="D20" s="290" t="str">
        <f>IF(ISERROR(VLOOKUP(C20,K:L,2,0)),"",VLOOKUP(C20,K:L,2,0))</f>
        <v/>
      </c>
      <c r="E20" s="234" t="str">
        <f>IF(ISERROR(VLOOKUP(C20,K:M,3,0)),"",VLOOKUP(C20,K:M,3,0))</f>
        <v/>
      </c>
      <c r="F20" s="234" t="str">
        <f>IF(ISERROR(VLOOKUP(C20,K:N,3,0)),"",VLOOKUP(C20,K:N,4,0))</f>
        <v/>
      </c>
      <c r="G20" s="283"/>
      <c r="H20" s="339"/>
      <c r="K20" s="373" t="s">
        <v>631</v>
      </c>
      <c r="L20" s="374">
        <v>20000</v>
      </c>
      <c r="M20" s="374">
        <v>16803.05</v>
      </c>
      <c r="N20" s="374">
        <v>3196.95</v>
      </c>
      <c r="O20" s="372" t="str">
        <f t="shared" si="0"/>
        <v>OK</v>
      </c>
    </row>
    <row r="21" spans="1:15" x14ac:dyDescent="0.25">
      <c r="A21" s="656" t="s">
        <v>488</v>
      </c>
      <c r="B21" s="656"/>
      <c r="C21" s="656"/>
      <c r="D21" s="307">
        <f>SUBTOTAL(109,D22)</f>
        <v>4000</v>
      </c>
      <c r="E21" s="302">
        <f>SUBTOTAL(109,E22)</f>
        <v>1980.1</v>
      </c>
      <c r="F21" s="302">
        <f>SUBTOTAL(109,F22)</f>
        <v>2019.9</v>
      </c>
      <c r="G21" s="303">
        <f t="shared" si="1"/>
        <v>0.49502499999999999</v>
      </c>
      <c r="H21" s="370"/>
      <c r="K21" s="373" t="s">
        <v>633</v>
      </c>
      <c r="L21" s="374">
        <v>600000</v>
      </c>
      <c r="M21" s="374">
        <v>518495.86</v>
      </c>
      <c r="N21" s="374">
        <v>81504.14</v>
      </c>
      <c r="O21" s="372" t="str">
        <f t="shared" si="0"/>
        <v>OK</v>
      </c>
    </row>
    <row r="22" spans="1:15" x14ac:dyDescent="0.25">
      <c r="A22" s="54" t="s">
        <v>489</v>
      </c>
      <c r="B22" s="288">
        <v>2000</v>
      </c>
      <c r="C22" s="304" t="s">
        <v>634</v>
      </c>
      <c r="D22" s="290">
        <f>IF(ISERROR(VLOOKUP(C22,K:L,2,0)),"",VLOOKUP(C22,K:L,2,0))</f>
        <v>4000</v>
      </c>
      <c r="E22" s="234">
        <f>IF(ISERROR(VLOOKUP(C22,K:M,3,0)),"",VLOOKUP(C22,K:M,3,0))</f>
        <v>1980.1</v>
      </c>
      <c r="F22" s="234">
        <f>IF(ISERROR(VLOOKUP(C22,K:N,3,0)),"",VLOOKUP(C22,K:N,4,0))</f>
        <v>2019.9</v>
      </c>
      <c r="G22" s="283">
        <f t="shared" si="1"/>
        <v>0.49502499999999999</v>
      </c>
      <c r="H22" s="339"/>
      <c r="K22" s="373" t="s">
        <v>619</v>
      </c>
      <c r="L22" s="374">
        <v>150000</v>
      </c>
      <c r="M22" s="374">
        <v>104895.83</v>
      </c>
      <c r="N22" s="374">
        <v>45104.17</v>
      </c>
      <c r="O22" s="372" t="str">
        <f t="shared" si="0"/>
        <v>OK</v>
      </c>
    </row>
    <row r="23" spans="1:15" x14ac:dyDescent="0.25">
      <c r="A23" s="656" t="s">
        <v>476</v>
      </c>
      <c r="B23" s="656"/>
      <c r="C23" s="656"/>
      <c r="D23" s="291">
        <f>SUBTOTAL(109,D24:D25)</f>
        <v>1220000</v>
      </c>
      <c r="E23" s="291">
        <f>SUBTOTAL(109,E24:E25)</f>
        <v>1156783.3399999999</v>
      </c>
      <c r="F23" s="291">
        <f>SUBTOTAL(109,F24:F25)</f>
        <v>63216.659999999996</v>
      </c>
      <c r="G23" s="293">
        <f t="shared" si="1"/>
        <v>0.94818306557377041</v>
      </c>
      <c r="H23" s="370"/>
      <c r="K23" s="373" t="s">
        <v>624</v>
      </c>
      <c r="L23" s="374">
        <v>270000</v>
      </c>
      <c r="M23" s="374">
        <v>209794.05</v>
      </c>
      <c r="N23" s="374">
        <v>60205.95</v>
      </c>
      <c r="O23" s="372" t="str">
        <f t="shared" si="0"/>
        <v>OK</v>
      </c>
    </row>
    <row r="24" spans="1:15" x14ac:dyDescent="0.25">
      <c r="A24" s="661" t="s">
        <v>477</v>
      </c>
      <c r="B24" s="346">
        <v>2000</v>
      </c>
      <c r="C24" s="304" t="s">
        <v>611</v>
      </c>
      <c r="D24" s="290">
        <f>IF(ISERROR(VLOOKUP(C24,K:L,2,0)),"",VLOOKUP(C24,K:L,2,0))</f>
        <v>300000</v>
      </c>
      <c r="E24" s="234">
        <f>IF(ISERROR(VLOOKUP(C24,K:M,3,0)),"",VLOOKUP(C24,K:M,3,0))</f>
        <v>239426.4</v>
      </c>
      <c r="F24" s="234">
        <f>IF(ISERROR(VLOOKUP(C24,K:N,3,0)),"",VLOOKUP(C24,K:N,4,0))</f>
        <v>60573.599999999999</v>
      </c>
      <c r="G24" s="283">
        <f t="shared" si="1"/>
        <v>0.79808800000000002</v>
      </c>
      <c r="H24" s="339"/>
      <c r="K24" s="373" t="s">
        <v>635</v>
      </c>
      <c r="L24" s="374">
        <v>160000</v>
      </c>
      <c r="M24" s="374">
        <v>117337.09</v>
      </c>
      <c r="N24" s="374">
        <v>42662.91</v>
      </c>
      <c r="O24" s="372" t="str">
        <f t="shared" si="0"/>
        <v>OK</v>
      </c>
    </row>
    <row r="25" spans="1:15" x14ac:dyDescent="0.25">
      <c r="A25" s="661"/>
      <c r="B25" s="346">
        <v>2000</v>
      </c>
      <c r="C25" s="304" t="s">
        <v>636</v>
      </c>
      <c r="D25" s="290">
        <f>IF(ISERROR(VLOOKUP(C25,K:L,2,0)),"",VLOOKUP(C25,K:L,2,0))</f>
        <v>920000</v>
      </c>
      <c r="E25" s="234">
        <f>IF(ISERROR(VLOOKUP(C25,K:M,3,0)),"",VLOOKUP(C25,K:M,3,0))</f>
        <v>917356.94</v>
      </c>
      <c r="F25" s="234">
        <f>IF(ISERROR(VLOOKUP(C25,K:N,3,0)),"",VLOOKUP(C25,K:N,4,0))</f>
        <v>2643.06</v>
      </c>
      <c r="G25" s="283">
        <f t="shared" si="1"/>
        <v>0.99712710869565213</v>
      </c>
      <c r="H25" s="339"/>
      <c r="K25" s="373" t="s">
        <v>637</v>
      </c>
      <c r="L25" s="374">
        <v>300000</v>
      </c>
      <c r="M25" s="374">
        <v>134543.72</v>
      </c>
      <c r="N25" s="374">
        <v>165456.28</v>
      </c>
      <c r="O25" s="372" t="str">
        <f t="shared" si="0"/>
        <v>OK</v>
      </c>
    </row>
    <row r="26" spans="1:15" x14ac:dyDescent="0.25">
      <c r="A26" s="679" t="s">
        <v>480</v>
      </c>
      <c r="B26" s="679"/>
      <c r="C26" s="679"/>
      <c r="D26" s="291">
        <f>SUBTOTAL(109,D27:D27)</f>
        <v>600000</v>
      </c>
      <c r="E26" s="291">
        <f>SUBTOTAL(109,E27:E27)</f>
        <v>518495.86</v>
      </c>
      <c r="F26" s="291">
        <f>SUBTOTAL(109,F27:F27)</f>
        <v>81504.14</v>
      </c>
      <c r="G26" s="293">
        <f t="shared" si="1"/>
        <v>0.86415976666666661</v>
      </c>
      <c r="H26" s="370"/>
      <c r="K26" s="373" t="s">
        <v>638</v>
      </c>
      <c r="L26" s="374">
        <v>0</v>
      </c>
      <c r="M26" s="374">
        <v>0</v>
      </c>
      <c r="N26" s="374">
        <v>0</v>
      </c>
      <c r="O26" s="372" t="str">
        <f t="shared" si="0"/>
        <v>OK</v>
      </c>
    </row>
    <row r="27" spans="1:15" x14ac:dyDescent="0.25">
      <c r="A27" s="226" t="s">
        <v>481</v>
      </c>
      <c r="B27" s="346">
        <v>2000</v>
      </c>
      <c r="C27" s="304" t="s">
        <v>633</v>
      </c>
      <c r="D27" s="290">
        <f>IF(ISERROR(VLOOKUP(C27,K:L,2,0)),"",VLOOKUP(C27,K:L,2,0))</f>
        <v>600000</v>
      </c>
      <c r="E27" s="234">
        <f>IF(ISERROR(VLOOKUP(C27,K:M,3,0)),"",VLOOKUP(C27,K:M,3,0))</f>
        <v>518495.86</v>
      </c>
      <c r="F27" s="234">
        <f>IF(ISERROR(VLOOKUP(C27,K:N,3,0)),"",VLOOKUP(C27,K:N,4,0))</f>
        <v>81504.14</v>
      </c>
      <c r="G27" s="283">
        <f t="shared" si="1"/>
        <v>0.86415976666666661</v>
      </c>
      <c r="H27" s="339"/>
      <c r="K27" s="373" t="s">
        <v>639</v>
      </c>
      <c r="L27" s="374">
        <v>80000</v>
      </c>
      <c r="M27" s="374">
        <v>73634.460000000006</v>
      </c>
      <c r="N27" s="374">
        <v>6365.54</v>
      </c>
      <c r="O27" s="372" t="str">
        <f t="shared" si="0"/>
        <v>OK</v>
      </c>
    </row>
    <row r="28" spans="1:15" x14ac:dyDescent="0.25">
      <c r="A28" s="656" t="s">
        <v>468</v>
      </c>
      <c r="B28" s="656"/>
      <c r="C28" s="656"/>
      <c r="D28" s="228">
        <f>SUBTOTAL(109,D29:D30)</f>
        <v>350000</v>
      </c>
      <c r="E28" s="228">
        <f>SUBTOTAL(109,E29:E30)</f>
        <v>260611.05</v>
      </c>
      <c r="F28" s="228">
        <f>SUBTOTAL(109,F29:F30)</f>
        <v>89388.95</v>
      </c>
      <c r="G28" s="230">
        <f t="shared" si="1"/>
        <v>0.74460300000000001</v>
      </c>
      <c r="H28" s="370"/>
      <c r="K28" s="373" t="s">
        <v>640</v>
      </c>
      <c r="L28" s="374">
        <v>50000</v>
      </c>
      <c r="M28" s="374">
        <v>0</v>
      </c>
      <c r="N28" s="374">
        <v>50000</v>
      </c>
      <c r="O28" s="372" t="str">
        <f t="shared" si="0"/>
        <v>OK</v>
      </c>
    </row>
    <row r="29" spans="1:15" x14ac:dyDescent="0.25">
      <c r="A29" s="661" t="s">
        <v>470</v>
      </c>
      <c r="B29" s="346">
        <v>2000</v>
      </c>
      <c r="C29" s="304" t="s">
        <v>612</v>
      </c>
      <c r="D29" s="290">
        <f>IF(ISERROR(VLOOKUP(C29,K:L,2,0)),"",VLOOKUP(C29,K:L,2,0))</f>
        <v>350000</v>
      </c>
      <c r="E29" s="234">
        <f>IF(ISERROR(VLOOKUP(C29,K:M,3,0)),"",VLOOKUP(C29,K:M,3,0))</f>
        <v>260611.05</v>
      </c>
      <c r="F29" s="234">
        <f>IF(ISERROR(VLOOKUP(C29,K:N,3,0)),"",VLOOKUP(C29,K:N,4,0))</f>
        <v>89388.95</v>
      </c>
      <c r="G29" s="283">
        <f t="shared" si="1"/>
        <v>0.74460300000000001</v>
      </c>
      <c r="H29" s="339"/>
      <c r="K29" s="373" t="s">
        <v>641</v>
      </c>
      <c r="L29" s="374">
        <v>80000</v>
      </c>
      <c r="M29" s="374">
        <v>37236.910000000003</v>
      </c>
      <c r="N29" s="374">
        <v>42763.09</v>
      </c>
      <c r="O29" s="372" t="str">
        <f t="shared" si="0"/>
        <v>OK</v>
      </c>
    </row>
    <row r="30" spans="1:15" x14ac:dyDescent="0.25">
      <c r="A30" s="661"/>
      <c r="B30" s="346">
        <v>2000</v>
      </c>
      <c r="C30" s="304"/>
      <c r="D30" s="290" t="str">
        <f>IF(ISERROR(VLOOKUP(C30,K:L,2,0)),"",VLOOKUP(C30,K:L,2,0))</f>
        <v/>
      </c>
      <c r="E30" s="234" t="str">
        <f>IF(ISERROR(VLOOKUP(C30,K:M,3,0)),"",VLOOKUP(C30,K:M,3,0))</f>
        <v/>
      </c>
      <c r="F30" s="234" t="str">
        <f>IF(ISERROR(VLOOKUP(C30,K:N,3,0)),"",VLOOKUP(C30,K:N,4,0))</f>
        <v/>
      </c>
      <c r="G30" s="283"/>
      <c r="H30" s="339"/>
      <c r="K30" s="373" t="s">
        <v>642</v>
      </c>
      <c r="L30" s="374">
        <v>100000</v>
      </c>
      <c r="M30" s="374">
        <v>80152.009999999995</v>
      </c>
      <c r="N30" s="374">
        <v>19847.990000000002</v>
      </c>
      <c r="O30" s="372" t="str">
        <f t="shared" si="0"/>
        <v>OK</v>
      </c>
    </row>
    <row r="31" spans="1:15" x14ac:dyDescent="0.25">
      <c r="A31" s="656" t="s">
        <v>643</v>
      </c>
      <c r="B31" s="656"/>
      <c r="C31" s="656"/>
      <c r="D31" s="228">
        <f>SUBTOTAL(109,D32:D33)</f>
        <v>310000</v>
      </c>
      <c r="E31" s="228">
        <f>SUBTOTAL(109,E32:E33)</f>
        <v>208456.28</v>
      </c>
      <c r="F31" s="228">
        <f>SUBTOTAL(109,F32:F33)</f>
        <v>101543.72</v>
      </c>
      <c r="G31" s="230">
        <f t="shared" ref="G31:G32" si="2">E31/D31</f>
        <v>0.67243961290322585</v>
      </c>
      <c r="H31" s="339"/>
      <c r="K31" s="373" t="s">
        <v>644</v>
      </c>
      <c r="L31" s="374">
        <v>250000</v>
      </c>
      <c r="M31" s="374">
        <v>133499.69</v>
      </c>
      <c r="N31" s="374">
        <v>116500.31</v>
      </c>
      <c r="O31" s="372" t="str">
        <f>IF(ISERROR(VLOOKUP(K31,C:C,1,0)),"NÃO ENCONTRADO","OK")</f>
        <v>OK</v>
      </c>
    </row>
    <row r="32" spans="1:15" x14ac:dyDescent="0.25">
      <c r="A32" s="661" t="s">
        <v>474</v>
      </c>
      <c r="B32" s="346">
        <v>2000</v>
      </c>
      <c r="C32" s="304" t="s">
        <v>645</v>
      </c>
      <c r="D32" s="290">
        <f>IF(ISERROR(VLOOKUP(C32,K:L,2,0)),"",VLOOKUP(C32,K:L,2,0))</f>
        <v>310000</v>
      </c>
      <c r="E32" s="234">
        <f>IF(ISERROR(VLOOKUP(C32,K:M,3,0)),"",VLOOKUP(C32,K:M,3,0))</f>
        <v>208456.28</v>
      </c>
      <c r="F32" s="234">
        <f>IF(ISERROR(VLOOKUP(C32,K:N,3,0)),"",VLOOKUP(C32,K:N,4,0))</f>
        <v>101543.72</v>
      </c>
      <c r="G32" s="283">
        <f t="shared" si="2"/>
        <v>0.67243961290322585</v>
      </c>
      <c r="H32" s="339"/>
      <c r="K32" s="373" t="s">
        <v>646</v>
      </c>
      <c r="L32" s="374">
        <v>200000</v>
      </c>
      <c r="M32" s="374">
        <v>130366</v>
      </c>
      <c r="N32" s="374">
        <v>69634</v>
      </c>
      <c r="O32" s="372" t="str">
        <f>IF(ISERROR(VLOOKUP(K32,C:C,1,0)),"NÃO ENCONTRADO","OK")</f>
        <v>OK</v>
      </c>
    </row>
    <row r="33" spans="1:15" x14ac:dyDescent="0.25">
      <c r="A33" s="661"/>
      <c r="B33" s="346">
        <v>2000</v>
      </c>
      <c r="C33" s="304"/>
      <c r="D33" s="290" t="str">
        <f>IF(ISERROR(VLOOKUP(C33,K:L,2,0)),"",VLOOKUP(C33,K:L,2,0))</f>
        <v/>
      </c>
      <c r="E33" s="234" t="str">
        <f>IF(ISERROR(VLOOKUP(C33,K:M,3,0)),"",VLOOKUP(C33,K:M,3,0))</f>
        <v/>
      </c>
      <c r="F33" s="234" t="str">
        <f>IF(ISERROR(VLOOKUP(C33,K:N,3,0)),"",VLOOKUP(C33,K:N,4,0))</f>
        <v/>
      </c>
      <c r="G33" s="283"/>
      <c r="H33" s="339"/>
      <c r="K33" s="373" t="s">
        <v>647</v>
      </c>
      <c r="L33" s="374">
        <v>40000</v>
      </c>
      <c r="M33" s="374">
        <v>18889.400000000001</v>
      </c>
      <c r="N33" s="374">
        <v>21110.6</v>
      </c>
      <c r="O33" s="372" t="str">
        <f>IF(ISERROR(VLOOKUP(K33,C:C,1,0)),"NÃO ENCONTRADO","OK")</f>
        <v>OK</v>
      </c>
    </row>
    <row r="34" spans="1:15" x14ac:dyDescent="0.25">
      <c r="A34" s="656" t="s">
        <v>483</v>
      </c>
      <c r="B34" s="656"/>
      <c r="C34" s="656"/>
      <c r="D34" s="302">
        <f>SUBTOTAL(109,D35:D36)</f>
        <v>195000</v>
      </c>
      <c r="E34" s="302">
        <f>SUBTOTAL(109,E35:E36)</f>
        <v>84380.59</v>
      </c>
      <c r="F34" s="302">
        <f>SUBTOTAL(109,F35:F36)</f>
        <v>110619.41</v>
      </c>
      <c r="G34" s="303">
        <f t="shared" si="1"/>
        <v>0.43272097435897433</v>
      </c>
      <c r="H34" s="370"/>
      <c r="K34" s="373" t="s">
        <v>645</v>
      </c>
      <c r="L34" s="374">
        <v>310000</v>
      </c>
      <c r="M34" s="374">
        <v>208456.28</v>
      </c>
      <c r="N34" s="374">
        <v>101543.72</v>
      </c>
      <c r="O34" s="372" t="str">
        <f t="shared" ref="O34:O44" si="3">IF(ISERROR(VLOOKUP(K34,C:C,1,0)),"NÃO ENCONTRADO","OK")</f>
        <v>OK</v>
      </c>
    </row>
    <row r="35" spans="1:15" ht="23.25" customHeight="1" x14ac:dyDescent="0.25">
      <c r="A35" s="204" t="s">
        <v>484</v>
      </c>
      <c r="B35" s="346">
        <v>2000</v>
      </c>
      <c r="C35" s="304" t="s">
        <v>613</v>
      </c>
      <c r="D35" s="290">
        <f>IF(ISERROR(VLOOKUP(C35,K:L,2,0)),"",VLOOKUP(C35,K:L,2,0))</f>
        <v>145000</v>
      </c>
      <c r="E35" s="234">
        <f>IF(ISERROR(VLOOKUP(C35,K:M,3,0)),"",VLOOKUP(C35,K:M,3,0))</f>
        <v>73832.5</v>
      </c>
      <c r="F35" s="234">
        <f>IF(ISERROR(VLOOKUP(C35,K:N,3,0)),"",VLOOKUP(C35,K:N,4,0))</f>
        <v>71167.5</v>
      </c>
      <c r="G35" s="283">
        <f t="shared" si="1"/>
        <v>0.50918965517241377</v>
      </c>
      <c r="H35" s="339"/>
      <c r="K35" s="373" t="s">
        <v>648</v>
      </c>
      <c r="L35" s="374">
        <v>50000</v>
      </c>
      <c r="M35" s="374">
        <v>10548.09</v>
      </c>
      <c r="N35" s="374">
        <v>39451.910000000003</v>
      </c>
      <c r="O35" s="372" t="str">
        <f t="shared" si="3"/>
        <v>OK</v>
      </c>
    </row>
    <row r="36" spans="1:15" ht="30" x14ac:dyDescent="0.25">
      <c r="A36" s="54" t="s">
        <v>649</v>
      </c>
      <c r="B36" s="346">
        <v>200</v>
      </c>
      <c r="C36" s="304" t="s">
        <v>648</v>
      </c>
      <c r="D36" s="290">
        <f>IF(ISERROR(VLOOKUP(C36,K:L,2,0)),"",VLOOKUP(C36,K:L,2,0))</f>
        <v>50000</v>
      </c>
      <c r="E36" s="234">
        <f>IF(ISERROR(VLOOKUP(C36,K:M,3,0)),"",VLOOKUP(C36,K:M,3,0))</f>
        <v>10548.09</v>
      </c>
      <c r="F36" s="234">
        <f>IF(ISERROR(VLOOKUP(C36,K:N,3,0)),"",VLOOKUP(C36,K:N,4,0))</f>
        <v>39451.910000000003</v>
      </c>
      <c r="G36" s="283">
        <f t="shared" si="1"/>
        <v>0.2109618</v>
      </c>
      <c r="H36" s="339"/>
      <c r="K36" s="373" t="s">
        <v>616</v>
      </c>
      <c r="L36" s="374">
        <v>160000</v>
      </c>
      <c r="M36" s="374">
        <v>76443.69</v>
      </c>
      <c r="N36" s="374">
        <v>83556.31</v>
      </c>
      <c r="O36" s="372" t="str">
        <f t="shared" si="3"/>
        <v>OK</v>
      </c>
    </row>
    <row r="37" spans="1:15" x14ac:dyDescent="0.25">
      <c r="A37" s="665" t="s">
        <v>108</v>
      </c>
      <c r="B37" s="666"/>
      <c r="C37" s="667"/>
      <c r="D37" s="309">
        <f>SUBTOTAL(109,D38:D49)</f>
        <v>1830000</v>
      </c>
      <c r="E37" s="310">
        <f>SUBTOTAL(109,E38:E49)</f>
        <v>1412955.7299999997</v>
      </c>
      <c r="F37" s="310">
        <f>SUBTOTAL(109,F38:F49)</f>
        <v>417044.27</v>
      </c>
      <c r="G37" s="311">
        <f t="shared" si="1"/>
        <v>0.77210695628415282</v>
      </c>
      <c r="H37" s="369"/>
      <c r="K37" s="373" t="s">
        <v>650</v>
      </c>
      <c r="L37" s="374">
        <v>220000</v>
      </c>
      <c r="M37" s="374">
        <v>126024.69</v>
      </c>
      <c r="N37" s="374">
        <v>93975.31</v>
      </c>
      <c r="O37" s="372" t="str">
        <f t="shared" si="3"/>
        <v>OK</v>
      </c>
    </row>
    <row r="38" spans="1:15" x14ac:dyDescent="0.25">
      <c r="A38" s="656" t="s">
        <v>468</v>
      </c>
      <c r="B38" s="657"/>
      <c r="C38" s="658"/>
      <c r="D38" s="291">
        <f>SUBTOTAL(109,D39:D40)</f>
        <v>270000</v>
      </c>
      <c r="E38" s="291">
        <f>SUBTOTAL(109,E39:E40)</f>
        <v>212337.65</v>
      </c>
      <c r="F38" s="291">
        <f>SUBTOTAL(109,F39:F40)</f>
        <v>57662.35</v>
      </c>
      <c r="G38" s="293">
        <f t="shared" ref="G38:G70" si="4">E38/D38</f>
        <v>0.78643574074074074</v>
      </c>
      <c r="H38" s="370"/>
      <c r="K38" s="373" t="s">
        <v>651</v>
      </c>
      <c r="L38" s="374">
        <v>50000</v>
      </c>
      <c r="M38" s="374">
        <v>38272.68</v>
      </c>
      <c r="N38" s="374">
        <v>11727.32</v>
      </c>
      <c r="O38" s="372" t="str">
        <f t="shared" si="3"/>
        <v>OK</v>
      </c>
    </row>
    <row r="39" spans="1:15" x14ac:dyDescent="0.25">
      <c r="A39" s="661" t="s">
        <v>470</v>
      </c>
      <c r="B39" s="288" t="s">
        <v>494</v>
      </c>
      <c r="C39" s="289" t="s">
        <v>622</v>
      </c>
      <c r="D39" s="290">
        <f>IF(ISERROR(VLOOKUP(C39,K:L,2,0)),"",VLOOKUP(C39,K:L,2,0))</f>
        <v>270000</v>
      </c>
      <c r="E39" s="234">
        <f>IF(ISERROR(VLOOKUP(C39,K:M,3,0)),"",VLOOKUP(C39,K:M,3,0))</f>
        <v>212337.65</v>
      </c>
      <c r="F39" s="234">
        <f>IF(ISERROR(VLOOKUP(C39,K:N,3,0)),"",VLOOKUP(C39,K:N,4,0))</f>
        <v>57662.35</v>
      </c>
      <c r="G39" s="237">
        <f t="shared" si="4"/>
        <v>0.78643574074074074</v>
      </c>
      <c r="H39" s="339"/>
      <c r="K39" s="373" t="s">
        <v>634</v>
      </c>
      <c r="L39" s="374">
        <v>4000</v>
      </c>
      <c r="M39" s="374">
        <v>1980.1</v>
      </c>
      <c r="N39" s="374">
        <v>2019.9</v>
      </c>
      <c r="O39" s="372" t="str">
        <f t="shared" si="3"/>
        <v>OK</v>
      </c>
    </row>
    <row r="40" spans="1:15" x14ac:dyDescent="0.25">
      <c r="A40" s="660"/>
      <c r="B40" s="288" t="s">
        <v>494</v>
      </c>
      <c r="C40" s="289"/>
      <c r="D40" s="290" t="str">
        <f>IF(ISERROR(VLOOKUP(C40,K:L,2,0)),"",VLOOKUP(C40,K:L,2,0))</f>
        <v/>
      </c>
      <c r="E40" s="234" t="str">
        <f>IF(ISERROR(VLOOKUP(C40,K:M,3,0)),"",VLOOKUP(C40,K:M,3,0))</f>
        <v/>
      </c>
      <c r="F40" s="234" t="str">
        <f>IF(ISERROR(VLOOKUP(C40,K:N,3,0)),"",VLOOKUP(C40,K:N,4,0))</f>
        <v/>
      </c>
      <c r="G40" s="237"/>
      <c r="H40" s="339"/>
      <c r="K40" s="373" t="s">
        <v>652</v>
      </c>
      <c r="L40" s="374">
        <v>0</v>
      </c>
      <c r="M40" s="374">
        <v>0</v>
      </c>
      <c r="N40" s="374">
        <v>0</v>
      </c>
      <c r="O40" s="372" t="str">
        <f t="shared" si="3"/>
        <v>NÃO ENCONTRADO</v>
      </c>
    </row>
    <row r="41" spans="1:15" x14ac:dyDescent="0.25">
      <c r="A41" s="656" t="s">
        <v>473</v>
      </c>
      <c r="B41" s="657"/>
      <c r="C41" s="658"/>
      <c r="D41" s="291">
        <f>SUBTOTAL(109,D42)</f>
        <v>220000</v>
      </c>
      <c r="E41" s="292">
        <f>SUBTOTAL(109,E42)</f>
        <v>126024.69</v>
      </c>
      <c r="F41" s="292">
        <f>SUBTOTAL(109,F42)</f>
        <v>93975.31</v>
      </c>
      <c r="G41" s="293">
        <f t="shared" si="4"/>
        <v>0.57283950000000006</v>
      </c>
      <c r="H41" s="370"/>
      <c r="K41" s="373" t="s">
        <v>653</v>
      </c>
      <c r="L41" s="374">
        <v>19306.099999999999</v>
      </c>
      <c r="M41" s="374">
        <v>17529.7</v>
      </c>
      <c r="N41" s="374">
        <v>1776.4</v>
      </c>
      <c r="O41" s="372" t="str">
        <f t="shared" si="3"/>
        <v>OK</v>
      </c>
    </row>
    <row r="42" spans="1:15" x14ac:dyDescent="0.25">
      <c r="A42" s="50" t="s">
        <v>474</v>
      </c>
      <c r="B42" s="288" t="s">
        <v>494</v>
      </c>
      <c r="C42" s="289" t="s">
        <v>650</v>
      </c>
      <c r="D42" s="290">
        <f>IF(ISERROR(VLOOKUP(C42,K:L,2,0)),"",VLOOKUP(C42,K:L,2,0))</f>
        <v>220000</v>
      </c>
      <c r="E42" s="234">
        <f>IF(ISERROR(VLOOKUP(C42,K:M,3,0)),"",VLOOKUP(C42,K:M,3,0))</f>
        <v>126024.69</v>
      </c>
      <c r="F42" s="234">
        <f>IF(ISERROR(VLOOKUP(C42,K:N,3,0)),"",VLOOKUP(C42,K:N,4,0))</f>
        <v>93975.31</v>
      </c>
      <c r="G42" s="237">
        <f t="shared" si="4"/>
        <v>0.57283950000000006</v>
      </c>
      <c r="H42" s="339"/>
      <c r="K42" s="373" t="s">
        <v>654</v>
      </c>
      <c r="L42" s="374">
        <v>40000</v>
      </c>
      <c r="M42" s="374">
        <v>30018.86</v>
      </c>
      <c r="N42" s="374">
        <v>9981.14</v>
      </c>
      <c r="O42" s="372" t="str">
        <f t="shared" si="3"/>
        <v>OK</v>
      </c>
    </row>
    <row r="43" spans="1:15" x14ac:dyDescent="0.25">
      <c r="A43" s="656" t="s">
        <v>476</v>
      </c>
      <c r="B43" s="657"/>
      <c r="C43" s="658"/>
      <c r="D43" s="291">
        <f>SUBTOTAL(109,D44:D44)</f>
        <v>160000</v>
      </c>
      <c r="E43" s="292">
        <f>SUBTOTAL(109,E44:E44)</f>
        <v>117337.09</v>
      </c>
      <c r="F43" s="292">
        <f>SUBTOTAL(109,F44:F44)</f>
        <v>42662.91</v>
      </c>
      <c r="G43" s="293">
        <f t="shared" si="4"/>
        <v>0.73335681249999995</v>
      </c>
      <c r="H43" s="370"/>
      <c r="K43" s="373" t="s">
        <v>655</v>
      </c>
      <c r="L43" s="374">
        <v>5034.3500000000004</v>
      </c>
      <c r="M43" s="374">
        <v>5034.3500000000004</v>
      </c>
      <c r="N43" s="374">
        <v>0</v>
      </c>
      <c r="O43" s="372" t="str">
        <f t="shared" si="3"/>
        <v>NÃO ENCONTRADO</v>
      </c>
    </row>
    <row r="44" spans="1:15" x14ac:dyDescent="0.25">
      <c r="A44" s="204" t="s">
        <v>477</v>
      </c>
      <c r="B44" s="288" t="s">
        <v>494</v>
      </c>
      <c r="C44" s="312" t="s">
        <v>635</v>
      </c>
      <c r="D44" s="290">
        <f>IF(ISERROR(VLOOKUP(C44,K:L,2,0)),"",VLOOKUP(C44,K:L,2,0))</f>
        <v>160000</v>
      </c>
      <c r="E44" s="234">
        <f>IF(ISERROR(VLOOKUP(C44,K:M,3,0)),"",VLOOKUP(C44,K:M,3,0))</f>
        <v>117337.09</v>
      </c>
      <c r="F44" s="234">
        <f>IF(ISERROR(VLOOKUP(C44,K:N,3,0)),"",VLOOKUP(C44,K:N,4,0))</f>
        <v>42662.91</v>
      </c>
      <c r="G44" s="301">
        <f t="shared" si="4"/>
        <v>0.73335681249999995</v>
      </c>
      <c r="H44" s="339"/>
      <c r="K44" s="373" t="s">
        <v>656</v>
      </c>
      <c r="L44" s="374">
        <v>2970.66</v>
      </c>
      <c r="M44" s="374">
        <v>1630.23</v>
      </c>
      <c r="N44" s="374">
        <v>1340.43</v>
      </c>
      <c r="O44" s="372" t="str">
        <f t="shared" si="3"/>
        <v>NÃO ENCONTRADO</v>
      </c>
    </row>
    <row r="45" spans="1:15" x14ac:dyDescent="0.25">
      <c r="A45" s="204" t="s">
        <v>477</v>
      </c>
      <c r="B45" s="288" t="s">
        <v>494</v>
      </c>
      <c r="C45" s="312" t="s">
        <v>657</v>
      </c>
      <c r="D45" s="290">
        <f>IF(ISERROR(VLOOKUP(C45,K:L,2,0)),"",VLOOKUP(C45,K:L,2,0))</f>
        <v>770000</v>
      </c>
      <c r="E45" s="234">
        <f>IF(ISERROR(VLOOKUP(C45,K:M,3,0)),"",VLOOKUP(C45,K:M,3,0))</f>
        <v>768075.08</v>
      </c>
      <c r="F45" s="234">
        <f>IF(ISERROR(VLOOKUP(C45,K:N,3,0)),"",VLOOKUP(C45,K:N,4,0))</f>
        <v>1924.92</v>
      </c>
      <c r="G45" s="301">
        <f t="shared" si="4"/>
        <v>0.99750010389610388</v>
      </c>
      <c r="H45" s="339"/>
      <c r="K45" s="373" t="s">
        <v>636</v>
      </c>
      <c r="L45" s="374">
        <v>920000</v>
      </c>
      <c r="M45" s="374">
        <v>917356.94</v>
      </c>
      <c r="N45" s="374">
        <v>2643.06</v>
      </c>
      <c r="O45" s="372" t="str">
        <f>IF(ISERROR(VLOOKUP(K45,C:C,1,0)),"NÃO ENCONTRADO","OK")</f>
        <v>OK</v>
      </c>
    </row>
    <row r="46" spans="1:15" x14ac:dyDescent="0.25">
      <c r="A46" s="656" t="s">
        <v>480</v>
      </c>
      <c r="B46" s="657"/>
      <c r="C46" s="658"/>
      <c r="D46" s="291">
        <f>SUBTOTAL(109,D47)</f>
        <v>300000</v>
      </c>
      <c r="E46" s="292">
        <f>SUBTOTAL(109,E47)</f>
        <v>134543.72</v>
      </c>
      <c r="F46" s="292">
        <f>SUBTOTAL(109,F47)</f>
        <v>165456.28</v>
      </c>
      <c r="G46" s="293">
        <f t="shared" si="4"/>
        <v>0.44847906666666665</v>
      </c>
      <c r="H46" s="370"/>
      <c r="K46" s="373" t="s">
        <v>621</v>
      </c>
      <c r="L46" s="374">
        <v>480000</v>
      </c>
      <c r="M46" s="374">
        <v>459699.28</v>
      </c>
      <c r="N46" s="374">
        <v>20300.72</v>
      </c>
      <c r="O46" s="372" t="str">
        <f t="shared" ref="O46:O65" si="5">IF(ISERROR(VLOOKUP(K46,C:C,1,0)),"NÃO ENCONTRADO","OK")</f>
        <v>OK</v>
      </c>
    </row>
    <row r="47" spans="1:15" x14ac:dyDescent="0.25">
      <c r="A47" s="51" t="s">
        <v>481</v>
      </c>
      <c r="B47" s="288" t="s">
        <v>494</v>
      </c>
      <c r="C47" s="312" t="s">
        <v>637</v>
      </c>
      <c r="D47" s="290">
        <f>IF(ISERROR(VLOOKUP(C47,K:L,2,0)),"",VLOOKUP(C47,K:L,2,0))</f>
        <v>300000</v>
      </c>
      <c r="E47" s="234">
        <f>IF(ISERROR(VLOOKUP(C47,K:M,3,0)),"",VLOOKUP(C47,K:M,3,0))</f>
        <v>134543.72</v>
      </c>
      <c r="F47" s="234">
        <f>IF(ISERROR(VLOOKUP(C47,K:N,3,0)),"",VLOOKUP(C47,K:N,4,0))</f>
        <v>165456.28</v>
      </c>
      <c r="G47" s="301">
        <f t="shared" si="4"/>
        <v>0.44847906666666665</v>
      </c>
      <c r="H47" s="339"/>
      <c r="K47" s="373" t="s">
        <v>657</v>
      </c>
      <c r="L47" s="374">
        <v>770000</v>
      </c>
      <c r="M47" s="374">
        <v>768075.08</v>
      </c>
      <c r="N47" s="374">
        <v>1924.92</v>
      </c>
      <c r="O47" s="372" t="str">
        <f t="shared" si="5"/>
        <v>OK</v>
      </c>
    </row>
    <row r="48" spans="1:15" x14ac:dyDescent="0.25">
      <c r="A48" s="656" t="s">
        <v>483</v>
      </c>
      <c r="B48" s="657"/>
      <c r="C48" s="658"/>
      <c r="D48" s="307">
        <f>SUBTOTAL(109,D49)</f>
        <v>110000</v>
      </c>
      <c r="E48" s="302">
        <f>SUBTOTAL(109,E49)</f>
        <v>54637.5</v>
      </c>
      <c r="F48" s="302">
        <f>SUBTOTAL(109,F49)</f>
        <v>55362.5</v>
      </c>
      <c r="G48" s="303">
        <f t="shared" si="4"/>
        <v>0.49670454545454545</v>
      </c>
      <c r="H48" s="370"/>
      <c r="K48" s="373" t="s">
        <v>658</v>
      </c>
      <c r="L48" s="374">
        <v>720000</v>
      </c>
      <c r="M48" s="374">
        <v>719184.47</v>
      </c>
      <c r="N48" s="374">
        <v>815.53</v>
      </c>
      <c r="O48" s="372" t="str">
        <f t="shared" si="5"/>
        <v>OK</v>
      </c>
    </row>
    <row r="49" spans="1:15" ht="30" x14ac:dyDescent="0.25">
      <c r="A49" s="52" t="s">
        <v>500</v>
      </c>
      <c r="B49" s="288" t="s">
        <v>494</v>
      </c>
      <c r="C49" s="297" t="s">
        <v>623</v>
      </c>
      <c r="D49" s="290">
        <f>IF(ISERROR(VLOOKUP(C49,K:L,2,0)),"",VLOOKUP(C49,K:L,2,0))</f>
        <v>110000</v>
      </c>
      <c r="E49" s="234">
        <f>IF(ISERROR(VLOOKUP(C49,K:M,3,0)),"",VLOOKUP(C49,K:M,3,0))</f>
        <v>54637.5</v>
      </c>
      <c r="F49" s="234">
        <f>IF(ISERROR(VLOOKUP(C49,K:N,3,0)),"",VLOOKUP(C49,K:N,4,0))</f>
        <v>55362.5</v>
      </c>
      <c r="G49" s="236">
        <f t="shared" si="4"/>
        <v>0.49670454545454545</v>
      </c>
      <c r="H49" s="339"/>
      <c r="K49" s="373" t="s">
        <v>659</v>
      </c>
      <c r="L49" s="374">
        <v>130000</v>
      </c>
      <c r="M49" s="374">
        <v>116778.59</v>
      </c>
      <c r="N49" s="374">
        <v>13221.41</v>
      </c>
      <c r="O49" s="372" t="str">
        <f t="shared" si="5"/>
        <v>OK</v>
      </c>
    </row>
    <row r="50" spans="1:15" x14ac:dyDescent="0.25">
      <c r="A50" s="665" t="s">
        <v>94</v>
      </c>
      <c r="B50" s="666"/>
      <c r="C50" s="667"/>
      <c r="D50" s="314">
        <f>SUBTOTAL(109,D51:D67)</f>
        <v>970000</v>
      </c>
      <c r="E50" s="315">
        <f>SUBTOTAL(109,E51:E67)</f>
        <v>581099.19999999995</v>
      </c>
      <c r="F50" s="316">
        <f>SUBTOTAL(109,F51:F67)</f>
        <v>388900.8</v>
      </c>
      <c r="G50" s="317">
        <f t="shared" si="4"/>
        <v>0.59907134020618547</v>
      </c>
      <c r="H50" s="369"/>
      <c r="K50" s="373" t="s">
        <v>660</v>
      </c>
      <c r="L50" s="374">
        <v>780000</v>
      </c>
      <c r="M50" s="374">
        <v>763955.66</v>
      </c>
      <c r="N50" s="374">
        <v>16044.34</v>
      </c>
      <c r="O50" s="372" t="str">
        <f t="shared" si="5"/>
        <v>OK</v>
      </c>
    </row>
    <row r="51" spans="1:15" x14ac:dyDescent="0.25">
      <c r="A51" s="656" t="s">
        <v>468</v>
      </c>
      <c r="B51" s="668"/>
      <c r="C51" s="658"/>
      <c r="D51" s="228">
        <f>SUBTOTAL(109,D52:D53)</f>
        <v>220000</v>
      </c>
      <c r="E51" s="302">
        <f>SUBTOTAL(109,E52:E53)</f>
        <v>72404.5</v>
      </c>
      <c r="F51" s="318">
        <f>SUBTOTAL(109,F52:F53)</f>
        <v>147595.5</v>
      </c>
      <c r="G51" s="319">
        <f t="shared" si="4"/>
        <v>0.32911136363636362</v>
      </c>
      <c r="H51" s="370"/>
      <c r="K51" s="373" t="s">
        <v>661</v>
      </c>
      <c r="L51" s="374">
        <v>200000</v>
      </c>
      <c r="M51" s="374">
        <v>138972.66</v>
      </c>
      <c r="N51" s="374">
        <v>61027.34</v>
      </c>
      <c r="O51" s="372" t="str">
        <f t="shared" si="5"/>
        <v>OK</v>
      </c>
    </row>
    <row r="52" spans="1:15" x14ac:dyDescent="0.25">
      <c r="A52" s="672" t="s">
        <v>470</v>
      </c>
      <c r="B52" s="320" t="s">
        <v>502</v>
      </c>
      <c r="C52" s="321" t="s">
        <v>625</v>
      </c>
      <c r="D52" s="290">
        <f>IF(ISERROR(VLOOKUP(C52,K:L,2,0)),"",VLOOKUP(C52,K:L,2,0))</f>
        <v>110000</v>
      </c>
      <c r="E52" s="234">
        <f>IF(ISERROR(VLOOKUP(C52,K:M,3,0)),"",VLOOKUP(C52,K:M,3,0))</f>
        <v>21267.4</v>
      </c>
      <c r="F52" s="234">
        <f>IF(ISERROR(VLOOKUP(C52,K:N,3,0)),"",VLOOKUP(C52,K:N,4,0))</f>
        <v>88732.6</v>
      </c>
      <c r="G52" s="301">
        <f t="shared" si="4"/>
        <v>0.19334000000000001</v>
      </c>
      <c r="H52" s="339"/>
      <c r="K52" s="373"/>
      <c r="L52" s="374"/>
      <c r="M52" s="374"/>
      <c r="N52" s="374"/>
      <c r="O52" s="372" t="str">
        <f t="shared" si="5"/>
        <v>NÃO ENCONTRADO</v>
      </c>
    </row>
    <row r="53" spans="1:15" x14ac:dyDescent="0.25">
      <c r="A53" s="673"/>
      <c r="B53" s="320" t="s">
        <v>662</v>
      </c>
      <c r="C53" s="321" t="s">
        <v>627</v>
      </c>
      <c r="D53" s="290">
        <f>IF(ISERROR(VLOOKUP(C53,K:L,2,0)),"",VLOOKUP(C53,K:L,2,0))</f>
        <v>110000</v>
      </c>
      <c r="E53" s="234">
        <f>IF(ISERROR(VLOOKUP(C53,K:M,3,0)),"",VLOOKUP(C53,K:M,3,0))</f>
        <v>51137.1</v>
      </c>
      <c r="F53" s="234">
        <f>IF(ISERROR(VLOOKUP(C53,K:N,3,0)),"",VLOOKUP(C53,K:N,4,0))</f>
        <v>58862.9</v>
      </c>
      <c r="G53" s="301">
        <f t="shared" si="4"/>
        <v>0.46488272727272728</v>
      </c>
      <c r="H53" s="339"/>
      <c r="K53" s="373"/>
      <c r="L53" s="374"/>
      <c r="M53" s="374"/>
      <c r="N53" s="374"/>
      <c r="O53" s="372" t="str">
        <f t="shared" si="5"/>
        <v>NÃO ENCONTRADO</v>
      </c>
    </row>
    <row r="54" spans="1:15" x14ac:dyDescent="0.25">
      <c r="A54" s="656" t="s">
        <v>473</v>
      </c>
      <c r="B54" s="675"/>
      <c r="C54" s="669"/>
      <c r="D54" s="227">
        <f>SUBTOTAL(109,D55:D56)</f>
        <v>90000</v>
      </c>
      <c r="E54" s="228">
        <f>SUBTOTAL(109,E55:E56)</f>
        <v>57162.080000000002</v>
      </c>
      <c r="F54" s="229">
        <f>SUBTOTAL(109,F55:F56)</f>
        <v>32837.919999999998</v>
      </c>
      <c r="G54" s="230">
        <f t="shared" si="4"/>
        <v>0.63513422222222227</v>
      </c>
      <c r="H54" s="370"/>
      <c r="K54" s="373"/>
      <c r="L54" s="374"/>
      <c r="M54" s="374"/>
      <c r="N54" s="374"/>
      <c r="O54" s="372" t="str">
        <f t="shared" si="5"/>
        <v>NÃO ENCONTRADO</v>
      </c>
    </row>
    <row r="55" spans="1:15" x14ac:dyDescent="0.25">
      <c r="A55" s="676" t="s">
        <v>474</v>
      </c>
      <c r="B55" s="308" t="s">
        <v>502</v>
      </c>
      <c r="C55" s="299" t="s">
        <v>651</v>
      </c>
      <c r="D55" s="290">
        <f>IF(ISERROR(VLOOKUP(C55,K:L,2,0)),"",VLOOKUP(C55,K:L,2,0))</f>
        <v>50000</v>
      </c>
      <c r="E55" s="234">
        <f>IF(ISERROR(VLOOKUP(C55,K:M,3,0)),"",VLOOKUP(C55,K:M,3,0))</f>
        <v>38272.68</v>
      </c>
      <c r="F55" s="234">
        <f>IF(ISERROR(VLOOKUP(C55,K:N,3,0)),"",VLOOKUP(C55,K:N,4,0))</f>
        <v>11727.32</v>
      </c>
      <c r="G55" s="301">
        <f t="shared" si="4"/>
        <v>0.76545359999999996</v>
      </c>
      <c r="H55" s="339"/>
      <c r="K55" s="373"/>
      <c r="L55" s="374"/>
      <c r="M55" s="374"/>
      <c r="N55" s="374"/>
      <c r="O55" s="372" t="str">
        <f t="shared" si="5"/>
        <v>NÃO ENCONTRADO</v>
      </c>
    </row>
    <row r="56" spans="1:15" x14ac:dyDescent="0.25">
      <c r="A56" s="677"/>
      <c r="B56" s="308" t="s">
        <v>662</v>
      </c>
      <c r="C56" s="299" t="s">
        <v>647</v>
      </c>
      <c r="D56" s="290">
        <f>IF(ISERROR(VLOOKUP(C56,K:L,2,0)),"",VLOOKUP(C56,K:L,2,0))</f>
        <v>40000</v>
      </c>
      <c r="E56" s="234">
        <f>IF(ISERROR(VLOOKUP(C56,K:M,3,0)),"",VLOOKUP(C56,K:M,3,0))</f>
        <v>18889.400000000001</v>
      </c>
      <c r="F56" s="234">
        <f>IF(ISERROR(VLOOKUP(C56,K:N,3,0)),"",VLOOKUP(C56,K:N,4,0))</f>
        <v>21110.6</v>
      </c>
      <c r="G56" s="301">
        <f t="shared" si="4"/>
        <v>0.47223500000000002</v>
      </c>
      <c r="H56" s="339"/>
      <c r="K56" s="373"/>
      <c r="L56" s="374"/>
      <c r="M56" s="374"/>
      <c r="N56" s="374"/>
      <c r="O56" s="372" t="str">
        <f t="shared" si="5"/>
        <v>NÃO ENCONTRADO</v>
      </c>
    </row>
    <row r="57" spans="1:15" x14ac:dyDescent="0.25">
      <c r="A57" s="679" t="s">
        <v>476</v>
      </c>
      <c r="B57" s="657"/>
      <c r="C57" s="680"/>
      <c r="D57" s="227">
        <f>SUBTOTAL(109,D58:D61)</f>
        <v>380000</v>
      </c>
      <c r="E57" s="228">
        <f>SUBTOTAL(109,E58:E61)</f>
        <v>255751.25</v>
      </c>
      <c r="F57" s="229">
        <f>SUBTOTAL(109,F58:F61)</f>
        <v>124248.75</v>
      </c>
      <c r="G57" s="230">
        <f t="shared" si="4"/>
        <v>0.67302960526315792</v>
      </c>
      <c r="H57" s="370"/>
      <c r="K57" s="373"/>
      <c r="L57" s="374"/>
      <c r="M57" s="374"/>
      <c r="N57" s="374"/>
      <c r="O57" s="372" t="str">
        <f t="shared" si="5"/>
        <v>NÃO ENCONTRADO</v>
      </c>
    </row>
    <row r="58" spans="1:15" x14ac:dyDescent="0.25">
      <c r="A58" s="661" t="s">
        <v>477</v>
      </c>
      <c r="B58" s="308" t="s">
        <v>502</v>
      </c>
      <c r="C58" s="299" t="s">
        <v>640</v>
      </c>
      <c r="D58" s="290">
        <f>IF(ISERROR(VLOOKUP(C58,K:L,2,0)),"",VLOOKUP(C58,K:L,2,0))</f>
        <v>50000</v>
      </c>
      <c r="E58" s="234">
        <f>IF(ISERROR(VLOOKUP(C58,K:M,3,0)),"",VLOOKUP(C58,K:M,3,0))</f>
        <v>0</v>
      </c>
      <c r="F58" s="234">
        <f>IF(ISERROR(VLOOKUP(C58,K:N,3,0)),"",VLOOKUP(C58,K:N,4,0))</f>
        <v>50000</v>
      </c>
      <c r="G58" s="301">
        <f t="shared" si="4"/>
        <v>0</v>
      </c>
      <c r="H58" s="339"/>
      <c r="K58" s="373"/>
      <c r="L58" s="374"/>
      <c r="M58" s="374"/>
      <c r="N58" s="374"/>
      <c r="O58" s="372" t="str">
        <f t="shared" si="5"/>
        <v>NÃO ENCONTRADO</v>
      </c>
    </row>
    <row r="59" spans="1:15" x14ac:dyDescent="0.25">
      <c r="A59" s="659"/>
      <c r="B59" s="308" t="s">
        <v>662</v>
      </c>
      <c r="C59" s="299" t="s">
        <v>638</v>
      </c>
      <c r="D59" s="290">
        <f>IF(ISERROR(VLOOKUP(C59,K:L,2,0)),"",VLOOKUP(C59,K:L,2,0))</f>
        <v>0</v>
      </c>
      <c r="E59" s="234">
        <f>IF(ISERROR(VLOOKUP(C59,K:M,3,0)),"",VLOOKUP(C59,K:M,3,0))</f>
        <v>0</v>
      </c>
      <c r="F59" s="234">
        <f>IF(ISERROR(VLOOKUP(C59,K:N,3,0)),"",VLOOKUP(C59,K:N,4,0))</f>
        <v>0</v>
      </c>
      <c r="G59" s="301"/>
      <c r="H59" s="339"/>
      <c r="K59" s="373"/>
      <c r="L59" s="374"/>
      <c r="M59" s="374"/>
      <c r="N59" s="374"/>
      <c r="O59" s="372" t="str">
        <f t="shared" si="5"/>
        <v>NÃO ENCONTRADO</v>
      </c>
    </row>
    <row r="60" spans="1:15" x14ac:dyDescent="0.25">
      <c r="A60" s="659"/>
      <c r="B60" s="288" t="s">
        <v>502</v>
      </c>
      <c r="C60" s="325" t="s">
        <v>659</v>
      </c>
      <c r="D60" s="290">
        <f>IF(ISERROR(VLOOKUP(C60,K:L,2,0)),"",VLOOKUP(C60,K:L,2,0))</f>
        <v>130000</v>
      </c>
      <c r="E60" s="234">
        <f>IF(ISERROR(VLOOKUP(C60,K:M,3,0)),"",VLOOKUP(C60,K:M,3,0))</f>
        <v>116778.59</v>
      </c>
      <c r="F60" s="234">
        <f>IF(ISERROR(VLOOKUP(C60,K:N,3,0)),"",VLOOKUP(C60,K:N,4,0))</f>
        <v>13221.41</v>
      </c>
      <c r="G60" s="237">
        <f t="shared" si="4"/>
        <v>0.89829684615384608</v>
      </c>
      <c r="H60" s="339"/>
      <c r="K60" s="373"/>
      <c r="L60" s="374"/>
      <c r="M60" s="374"/>
      <c r="N60" s="374"/>
      <c r="O60" s="372" t="str">
        <f t="shared" si="5"/>
        <v>NÃO ENCONTRADO</v>
      </c>
    </row>
    <row r="61" spans="1:15" x14ac:dyDescent="0.25">
      <c r="A61" s="659"/>
      <c r="B61" s="281" t="s">
        <v>662</v>
      </c>
      <c r="C61" s="327" t="s">
        <v>661</v>
      </c>
      <c r="D61" s="290">
        <f>IF(ISERROR(VLOOKUP(C61,K:L,2,0)),"",VLOOKUP(C61,K:L,2,0))</f>
        <v>200000</v>
      </c>
      <c r="E61" s="234">
        <f>IF(ISERROR(VLOOKUP(C61,K:M,3,0)),"",VLOOKUP(C61,K:M,3,0))</f>
        <v>138972.66</v>
      </c>
      <c r="F61" s="234">
        <f>IF(ISERROR(VLOOKUP(C61,K:N,3,0)),"",VLOOKUP(C61,K:N,4,0))</f>
        <v>61027.34</v>
      </c>
      <c r="G61" s="283">
        <f t="shared" si="4"/>
        <v>0.69486330000000007</v>
      </c>
      <c r="H61" s="339"/>
      <c r="K61" s="373"/>
      <c r="L61" s="374"/>
      <c r="M61" s="374"/>
      <c r="N61" s="374"/>
      <c r="O61" s="372" t="str">
        <f t="shared" si="5"/>
        <v>NÃO ENCONTRADO</v>
      </c>
    </row>
    <row r="62" spans="1:15" x14ac:dyDescent="0.25">
      <c r="A62" s="656" t="s">
        <v>480</v>
      </c>
      <c r="B62" s="657"/>
      <c r="C62" s="680"/>
      <c r="D62" s="227">
        <f>SUBTOTAL(109,D63:D64)</f>
        <v>160000</v>
      </c>
      <c r="E62" s="228">
        <f>SUBTOTAL(109,E63:E64)</f>
        <v>110871.37000000001</v>
      </c>
      <c r="F62" s="229">
        <f>SUBTOTAL(109,F63:F64)</f>
        <v>49128.63</v>
      </c>
      <c r="G62" s="230">
        <f t="shared" si="4"/>
        <v>0.69294606250000002</v>
      </c>
      <c r="H62" s="370"/>
      <c r="K62" s="384"/>
      <c r="L62" s="385"/>
      <c r="M62" s="385"/>
      <c r="N62" s="385"/>
      <c r="O62" s="372" t="str">
        <f t="shared" si="5"/>
        <v>NÃO ENCONTRADO</v>
      </c>
    </row>
    <row r="63" spans="1:15" x14ac:dyDescent="0.25">
      <c r="A63" s="659" t="s">
        <v>481</v>
      </c>
      <c r="B63" s="308" t="s">
        <v>502</v>
      </c>
      <c r="C63" s="312" t="s">
        <v>641</v>
      </c>
      <c r="D63" s="290">
        <f>IF(ISERROR(VLOOKUP(C63,K:L,2,0)),"",VLOOKUP(C63,K:L,2,0))</f>
        <v>80000</v>
      </c>
      <c r="E63" s="234">
        <f>IF(ISERROR(VLOOKUP(C63,K:M,3,0)),"",VLOOKUP(C63,K:M,3,0))</f>
        <v>37236.910000000003</v>
      </c>
      <c r="F63" s="234">
        <f>IF(ISERROR(VLOOKUP(C63,K:N,3,0)),"",VLOOKUP(C63,K:N,4,0))</f>
        <v>42763.09</v>
      </c>
      <c r="G63" s="301">
        <f t="shared" si="4"/>
        <v>0.46546137500000007</v>
      </c>
      <c r="H63" s="339"/>
      <c r="K63" s="384"/>
      <c r="L63" s="385"/>
      <c r="M63" s="385"/>
      <c r="N63" s="384"/>
      <c r="O63" s="372" t="str">
        <f t="shared" si="5"/>
        <v>NÃO ENCONTRADO</v>
      </c>
    </row>
    <row r="64" spans="1:15" x14ac:dyDescent="0.25">
      <c r="A64" s="659"/>
      <c r="B64" s="308" t="s">
        <v>662</v>
      </c>
      <c r="C64" s="299" t="s">
        <v>639</v>
      </c>
      <c r="D64" s="290">
        <f>IF(ISERROR(VLOOKUP(C64,K:L,2,0)),"",VLOOKUP(C64,K:L,2,0))</f>
        <v>80000</v>
      </c>
      <c r="E64" s="234">
        <f>IF(ISERROR(VLOOKUP(C64,K:M,3,0)),"",VLOOKUP(C64,K:M,3,0))</f>
        <v>73634.460000000006</v>
      </c>
      <c r="F64" s="234">
        <f>IF(ISERROR(VLOOKUP(C64,K:N,3,0)),"",VLOOKUP(C64,K:N,4,0))</f>
        <v>6365.54</v>
      </c>
      <c r="G64" s="237">
        <f t="shared" si="4"/>
        <v>0.92043075000000008</v>
      </c>
      <c r="H64" s="339"/>
      <c r="K64" s="384"/>
      <c r="L64" s="385"/>
      <c r="M64" s="385"/>
      <c r="N64" s="384"/>
      <c r="O64" s="372" t="str">
        <f t="shared" si="5"/>
        <v>NÃO ENCONTRADO</v>
      </c>
    </row>
    <row r="65" spans="1:15" x14ac:dyDescent="0.25">
      <c r="A65" s="681" t="s">
        <v>483</v>
      </c>
      <c r="B65" s="657"/>
      <c r="C65" s="682"/>
      <c r="D65" s="329">
        <f>SUBTOTAL(109,D66:D67)</f>
        <v>120000</v>
      </c>
      <c r="E65" s="291">
        <f>SUBTOTAL(109,E66:E67)</f>
        <v>84910</v>
      </c>
      <c r="F65" s="330">
        <f>SUBTOTAL(109,F66:F67)</f>
        <v>35090</v>
      </c>
      <c r="G65" s="331">
        <f t="shared" si="4"/>
        <v>0.70758333333333334</v>
      </c>
      <c r="H65" s="370"/>
      <c r="K65" s="384"/>
      <c r="L65" s="385"/>
      <c r="M65" s="385"/>
      <c r="N65" s="384"/>
      <c r="O65" s="372" t="str">
        <f t="shared" si="5"/>
        <v>NÃO ENCONTRADO</v>
      </c>
    </row>
    <row r="66" spans="1:15" x14ac:dyDescent="0.25">
      <c r="A66" s="661" t="s">
        <v>500</v>
      </c>
      <c r="B66" s="308" t="s">
        <v>502</v>
      </c>
      <c r="C66" s="299" t="s">
        <v>626</v>
      </c>
      <c r="D66" s="290">
        <f>IF(ISERROR(VLOOKUP(C66,K:L,2,0)),"",VLOOKUP(C66,K:L,2,0))</f>
        <v>60000</v>
      </c>
      <c r="E66" s="234">
        <f>IF(ISERROR(VLOOKUP(C66,K:M,3,0)),"",VLOOKUP(C66,K:M,3,0))</f>
        <v>59500</v>
      </c>
      <c r="F66" s="234">
        <f>IF(ISERROR(VLOOKUP(C66,K:N,3,0)),"",VLOOKUP(C66,K:N,4,0))</f>
        <v>500</v>
      </c>
      <c r="G66" s="301">
        <f t="shared" si="4"/>
        <v>0.9916666666666667</v>
      </c>
      <c r="H66" s="339"/>
    </row>
    <row r="67" spans="1:15" x14ac:dyDescent="0.25">
      <c r="A67" s="659"/>
      <c r="B67" s="288" t="s">
        <v>662</v>
      </c>
      <c r="C67" s="325" t="s">
        <v>629</v>
      </c>
      <c r="D67" s="290">
        <f>IF(ISERROR(VLOOKUP(C67,K:L,2,0)),"",VLOOKUP(C67,K:L,2,0))</f>
        <v>60000</v>
      </c>
      <c r="E67" s="234">
        <f>IF(ISERROR(VLOOKUP(C67,K:M,3,0)),"",VLOOKUP(C67,K:M,3,0))</f>
        <v>25410</v>
      </c>
      <c r="F67" s="234">
        <f>IF(ISERROR(VLOOKUP(C67,K:N,3,0)),"",VLOOKUP(C67,K:N,4,0))</f>
        <v>34590</v>
      </c>
      <c r="G67" s="237">
        <f t="shared" si="4"/>
        <v>0.42349999999999999</v>
      </c>
      <c r="H67" s="339"/>
    </row>
    <row r="68" spans="1:15" x14ac:dyDescent="0.25">
      <c r="A68" s="665" t="s">
        <v>114</v>
      </c>
      <c r="B68" s="666"/>
      <c r="C68" s="667"/>
      <c r="D68" s="333">
        <f>SUBTOTAL(109,D69:D80)</f>
        <v>1780000</v>
      </c>
      <c r="E68" s="314">
        <f>SUBTOTAL(109,E69:E80)</f>
        <v>1446598.33</v>
      </c>
      <c r="F68" s="334">
        <f>SUBTOTAL(109,F69:F80)</f>
        <v>333401.67</v>
      </c>
      <c r="G68" s="335">
        <f t="shared" si="4"/>
        <v>0.81269569101123595</v>
      </c>
      <c r="H68" s="369"/>
    </row>
    <row r="69" spans="1:15" x14ac:dyDescent="0.25">
      <c r="A69" s="656" t="s">
        <v>468</v>
      </c>
      <c r="B69" s="658"/>
      <c r="C69" s="669"/>
      <c r="D69" s="238">
        <f>SUBTOTAL(109,D70)</f>
        <v>295000</v>
      </c>
      <c r="E69" s="307">
        <f>SUBTOTAL(109,E70)</f>
        <v>227526.16</v>
      </c>
      <c r="F69" s="302">
        <f>SUBTOTAL(109,F70)</f>
        <v>67473.84</v>
      </c>
      <c r="G69" s="303">
        <f t="shared" si="4"/>
        <v>0.77127511864406784</v>
      </c>
      <c r="H69" s="370"/>
    </row>
    <row r="70" spans="1:15" x14ac:dyDescent="0.25">
      <c r="A70" s="54" t="s">
        <v>470</v>
      </c>
      <c r="B70" s="296" t="s">
        <v>522</v>
      </c>
      <c r="C70" s="327" t="s">
        <v>630</v>
      </c>
      <c r="D70" s="290">
        <f>IF(ISERROR(VLOOKUP(C70,K:L,2,0)),"",VLOOKUP(C70,K:L,2,0))</f>
        <v>295000</v>
      </c>
      <c r="E70" s="234">
        <f>IF(ISERROR(VLOOKUP(C70,K:M,3,0)),"",VLOOKUP(C70,K:M,3,0))</f>
        <v>227526.16</v>
      </c>
      <c r="F70" s="234">
        <f>IF(ISERROR(VLOOKUP(C70,K:N,3,0)),"",VLOOKUP(C70,K:N,4,0))</f>
        <v>67473.84</v>
      </c>
      <c r="G70" s="337">
        <f t="shared" si="4"/>
        <v>0.77127511864406784</v>
      </c>
      <c r="H70" s="339"/>
    </row>
    <row r="71" spans="1:15" x14ac:dyDescent="0.25">
      <c r="A71" s="656" t="s">
        <v>473</v>
      </c>
      <c r="B71" s="668"/>
      <c r="C71" s="669"/>
      <c r="D71" s="238">
        <f>SUBTOTAL(109,D72:D72)</f>
        <v>200000</v>
      </c>
      <c r="E71" s="238">
        <f>SUBTOTAL(109,E72:E72)</f>
        <v>130366</v>
      </c>
      <c r="F71" s="238">
        <f>SUBTOTAL(109,F72:F72)</f>
        <v>69634</v>
      </c>
      <c r="G71" s="338">
        <f t="shared" ref="G71:G94" si="6">E71/D71</f>
        <v>0.65183000000000002</v>
      </c>
      <c r="H71" s="370"/>
    </row>
    <row r="72" spans="1:15" x14ac:dyDescent="0.25">
      <c r="A72" s="205" t="s">
        <v>474</v>
      </c>
      <c r="B72" s="296" t="s">
        <v>522</v>
      </c>
      <c r="C72" s="327" t="s">
        <v>646</v>
      </c>
      <c r="D72" s="290">
        <f>IF(ISERROR(VLOOKUP(C72,K:L,2,0)),"",VLOOKUP(C72,K:L,2,0))</f>
        <v>200000</v>
      </c>
      <c r="E72" s="234">
        <f>IF(ISERROR(VLOOKUP(C72,K:M,3,0)),"",VLOOKUP(C72,K:M,3,0))</f>
        <v>130366</v>
      </c>
      <c r="F72" s="234">
        <f>IF(ISERROR(VLOOKUP(C72,K:N,3,0)),"",VLOOKUP(C72,K:N,4,0))</f>
        <v>69634</v>
      </c>
      <c r="G72" s="337">
        <f t="shared" si="6"/>
        <v>0.65183000000000002</v>
      </c>
      <c r="H72" s="339"/>
    </row>
    <row r="73" spans="1:15" x14ac:dyDescent="0.25">
      <c r="A73" s="656" t="s">
        <v>476</v>
      </c>
      <c r="B73" s="668"/>
      <c r="C73" s="669"/>
      <c r="D73" s="227">
        <f>SUBTOTAL(109,D74:D75)</f>
        <v>820000</v>
      </c>
      <c r="E73" s="228">
        <f>SUBTOTAL(109,E74:E75)</f>
        <v>799336.48</v>
      </c>
      <c r="F73" s="229">
        <f>SUBTOTAL(109,F74:F75)</f>
        <v>20663.52</v>
      </c>
      <c r="G73" s="230">
        <f t="shared" si="6"/>
        <v>0.97480058536585368</v>
      </c>
      <c r="H73" s="370"/>
    </row>
    <row r="74" spans="1:15" x14ac:dyDescent="0.25">
      <c r="A74" s="670" t="s">
        <v>477</v>
      </c>
      <c r="B74" s="296" t="s">
        <v>522</v>
      </c>
      <c r="C74" s="299" t="s">
        <v>642</v>
      </c>
      <c r="D74" s="290">
        <f>IF(ISERROR(VLOOKUP(C74,K:L,2,0)),"",VLOOKUP(C74,K:L,2,0))</f>
        <v>100000</v>
      </c>
      <c r="E74" s="234">
        <f>IF(ISERROR(VLOOKUP(C74,K:M,3,0)),"",VLOOKUP(C74,K:M,3,0))</f>
        <v>80152.009999999995</v>
      </c>
      <c r="F74" s="234">
        <f>IF(ISERROR(VLOOKUP(C74,K:N,3,0)),"",VLOOKUP(C74,K:N,4,0))</f>
        <v>19847.990000000002</v>
      </c>
      <c r="G74" s="301">
        <f t="shared" si="6"/>
        <v>0.80152009999999996</v>
      </c>
      <c r="H74" s="339"/>
    </row>
    <row r="75" spans="1:15" x14ac:dyDescent="0.25">
      <c r="A75" s="671"/>
      <c r="B75" s="296" t="s">
        <v>522</v>
      </c>
      <c r="C75" s="325" t="s">
        <v>658</v>
      </c>
      <c r="D75" s="290">
        <f>IF(ISERROR(VLOOKUP(C75,K:L,2,0)),"",VLOOKUP(C75,K:L,2,0))</f>
        <v>720000</v>
      </c>
      <c r="E75" s="234">
        <f>IF(ISERROR(VLOOKUP(C75,K:M,3,0)),"",VLOOKUP(C75,K:M,3,0))</f>
        <v>719184.47</v>
      </c>
      <c r="F75" s="234">
        <f>IF(ISERROR(VLOOKUP(C75,K:N,3,0)),"",VLOOKUP(C75,K:N,4,0))</f>
        <v>815.53</v>
      </c>
      <c r="G75" s="237">
        <f t="shared" si="6"/>
        <v>0.9988673194444444</v>
      </c>
      <c r="H75" s="339"/>
    </row>
    <row r="76" spans="1:15" x14ac:dyDescent="0.25">
      <c r="A76" s="656" t="s">
        <v>480</v>
      </c>
      <c r="B76" s="658"/>
      <c r="C76" s="680"/>
      <c r="D76" s="329">
        <f>SUBTOTAL(109,D77)</f>
        <v>250000</v>
      </c>
      <c r="E76" s="291">
        <f>SUBTOTAL(109,E77)</f>
        <v>133499.69</v>
      </c>
      <c r="F76" s="292">
        <f>SUBTOTAL(109,F77)</f>
        <v>116500.31</v>
      </c>
      <c r="G76" s="293">
        <f t="shared" si="6"/>
        <v>0.53399876000000002</v>
      </c>
      <c r="H76" s="370"/>
    </row>
    <row r="77" spans="1:15" x14ac:dyDescent="0.25">
      <c r="A77" s="51" t="s">
        <v>481</v>
      </c>
      <c r="B77" s="296" t="s">
        <v>522</v>
      </c>
      <c r="C77" s="341" t="s">
        <v>644</v>
      </c>
      <c r="D77" s="290">
        <f>IF(ISERROR(VLOOKUP(C77,K:L,2,0)),"",VLOOKUP(C77,K:L,2,0))</f>
        <v>250000</v>
      </c>
      <c r="E77" s="234">
        <f>IF(ISERROR(VLOOKUP(C77,K:M,3,0)),"",VLOOKUP(C77,K:M,3,0))</f>
        <v>133499.69</v>
      </c>
      <c r="F77" s="234">
        <f>IF(ISERROR(VLOOKUP(C77,K:N,3,0)),"",VLOOKUP(C77,K:N,4,0))</f>
        <v>116500.31</v>
      </c>
      <c r="G77" s="301">
        <f t="shared" si="6"/>
        <v>0.53399876000000002</v>
      </c>
      <c r="H77" s="339"/>
    </row>
    <row r="78" spans="1:15" x14ac:dyDescent="0.25">
      <c r="A78" s="656" t="s">
        <v>483</v>
      </c>
      <c r="B78" s="675"/>
      <c r="C78" s="682"/>
      <c r="D78" s="227">
        <f>SUBTOTAL(109,D79:D80)</f>
        <v>215000</v>
      </c>
      <c r="E78" s="227">
        <f>SUBTOTAL(109,E79:E80)</f>
        <v>155870</v>
      </c>
      <c r="F78" s="227">
        <f>SUBTOTAL(109,F79:F80)</f>
        <v>59130</v>
      </c>
      <c r="G78" s="230">
        <f t="shared" si="6"/>
        <v>0.72497674418604652</v>
      </c>
      <c r="H78" s="370"/>
    </row>
    <row r="79" spans="1:15" ht="30" x14ac:dyDescent="0.25">
      <c r="A79" s="50" t="s">
        <v>500</v>
      </c>
      <c r="B79" s="296" t="s">
        <v>522</v>
      </c>
      <c r="C79" s="299" t="s">
        <v>632</v>
      </c>
      <c r="D79" s="290">
        <f>IF(ISERROR(VLOOKUP(C79,K:L,2,0)),"",VLOOKUP(C79,K:L,2,0))</f>
        <v>215000</v>
      </c>
      <c r="E79" s="234">
        <f>IF(ISERROR(VLOOKUP(C79,K:M,3,0)),"",VLOOKUP(C79,K:M,3,0))</f>
        <v>155870</v>
      </c>
      <c r="F79" s="234">
        <f>IF(ISERROR(VLOOKUP(C79,K:N,3,0)),"",VLOOKUP(C79,K:N,4,0))</f>
        <v>59130</v>
      </c>
      <c r="G79" s="237">
        <f t="shared" ref="G79" si="7">E79/D79</f>
        <v>0.72497674418604652</v>
      </c>
      <c r="H79" s="339"/>
    </row>
    <row r="80" spans="1:15" ht="30" x14ac:dyDescent="0.25">
      <c r="A80" s="50" t="s">
        <v>663</v>
      </c>
      <c r="B80" s="296" t="s">
        <v>522</v>
      </c>
      <c r="C80" s="299"/>
      <c r="D80" s="290" t="str">
        <f>IF(ISERROR(VLOOKUP(C80,K:L,2,0)),"",VLOOKUP(C80,K:L,2,0))</f>
        <v/>
      </c>
      <c r="E80" s="234" t="str">
        <f>IF(ISERROR(VLOOKUP(C80,K:M,3,0)),"",VLOOKUP(C80,K:M,3,0))</f>
        <v/>
      </c>
      <c r="F80" s="234" t="str">
        <f>IF(ISERROR(VLOOKUP(C80,K:N,3,0)),"",VLOOKUP(C80,K:N,4,0))</f>
        <v/>
      </c>
      <c r="G80" s="237"/>
      <c r="H80" s="339"/>
    </row>
    <row r="81" spans="1:8" x14ac:dyDescent="0.25">
      <c r="A81" s="665" t="s">
        <v>124</v>
      </c>
      <c r="B81" s="666"/>
      <c r="C81" s="667"/>
      <c r="D81" s="333">
        <f>SUBTOTAL(109,D82:D94)</f>
        <v>1379306.1</v>
      </c>
      <c r="E81" s="333">
        <f>SUBTOTAL(109,E82:E94)</f>
        <v>1295448.49</v>
      </c>
      <c r="F81" s="333">
        <f>SUBTOTAL(109,F82:F94)</f>
        <v>83857.609999999986</v>
      </c>
      <c r="G81" s="342">
        <f t="shared" si="6"/>
        <v>0.93920304564737289</v>
      </c>
      <c r="H81" s="369"/>
    </row>
    <row r="82" spans="1:8" x14ac:dyDescent="0.25">
      <c r="A82" s="656" t="s">
        <v>468</v>
      </c>
      <c r="B82" s="658"/>
      <c r="C82" s="669"/>
      <c r="D82" s="238">
        <f>SUBTOTAL(109,D83:D84)</f>
        <v>25000</v>
      </c>
      <c r="E82" s="238">
        <f>SUBTOTAL(109,E83:E84)</f>
        <v>16449.27</v>
      </c>
      <c r="F82" s="238">
        <f>SUBTOTAL(109,F83:F84)</f>
        <v>8550.73</v>
      </c>
      <c r="G82" s="230">
        <f t="shared" si="6"/>
        <v>0.65797079999999997</v>
      </c>
      <c r="H82" s="370"/>
    </row>
    <row r="83" spans="1:8" x14ac:dyDescent="0.25">
      <c r="A83" s="54" t="s">
        <v>470</v>
      </c>
      <c r="B83" s="231" t="s">
        <v>530</v>
      </c>
      <c r="C83" s="332" t="s">
        <v>620</v>
      </c>
      <c r="D83" s="290">
        <f>IF(ISERROR(VLOOKUP(C83,K:L,2,0)),"",VLOOKUP(C83,K:L,2,0))</f>
        <v>25000</v>
      </c>
      <c r="E83" s="234">
        <f>IF(ISERROR(VLOOKUP(C83,K:M,3,0)),"",VLOOKUP(C83,K:M,3,0))</f>
        <v>16449.27</v>
      </c>
      <c r="F83" s="234">
        <f>IF(ISERROR(VLOOKUP(C83,K:N,3,0)),"",VLOOKUP(C83,K:N,4,0))</f>
        <v>8550.73</v>
      </c>
      <c r="G83" s="237">
        <f t="shared" si="6"/>
        <v>0.65797079999999997</v>
      </c>
      <c r="H83" s="339"/>
    </row>
    <row r="84" spans="1:8" x14ac:dyDescent="0.25">
      <c r="A84" s="54" t="s">
        <v>470</v>
      </c>
      <c r="B84" s="231" t="s">
        <v>530</v>
      </c>
      <c r="C84" s="332"/>
      <c r="D84" s="290" t="str">
        <f>IF(ISERROR(VLOOKUP(C84,K:L,2,0)),"",VLOOKUP(C84,K:L,2,0))</f>
        <v/>
      </c>
      <c r="E84" s="234" t="str">
        <f>IF(ISERROR(VLOOKUP(C84,K:M,3,0)),"",VLOOKUP(C84,K:M,3,0))</f>
        <v/>
      </c>
      <c r="F84" s="234" t="str">
        <f>IF(ISERROR(VLOOKUP(C84,K:N,3,0)),"",VLOOKUP(C84,K:N,4,0))</f>
        <v/>
      </c>
      <c r="G84" s="237"/>
      <c r="H84" s="339"/>
    </row>
    <row r="85" spans="1:8" x14ac:dyDescent="0.25">
      <c r="A85" s="656" t="s">
        <v>476</v>
      </c>
      <c r="B85" s="658"/>
      <c r="C85" s="669"/>
      <c r="D85" s="227">
        <f>SUBTOTAL(109,D86:D89)</f>
        <v>820000</v>
      </c>
      <c r="E85" s="228">
        <f>SUBTOTAL(109,E86:E89)</f>
        <v>793974.52</v>
      </c>
      <c r="F85" s="229">
        <f>SUBTOTAL(109,F86:F89)</f>
        <v>26025.48</v>
      </c>
      <c r="G85" s="230">
        <f>E85/D85</f>
        <v>0.96826160975609754</v>
      </c>
      <c r="H85" s="370"/>
    </row>
    <row r="86" spans="1:8" x14ac:dyDescent="0.25">
      <c r="A86" s="50" t="s">
        <v>477</v>
      </c>
      <c r="B86" s="231" t="s">
        <v>530</v>
      </c>
      <c r="C86" s="232" t="s">
        <v>660</v>
      </c>
      <c r="D86" s="290">
        <f>IF(ISERROR(VLOOKUP(C86,K:L,2,0)),"",VLOOKUP(C86,K:L,2,0))</f>
        <v>780000</v>
      </c>
      <c r="E86" s="234">
        <f>IF(ISERROR(VLOOKUP(C86,K:M,3,0)),"",VLOOKUP(C86,K:M,3,0))</f>
        <v>763955.66</v>
      </c>
      <c r="F86" s="234">
        <f>IF(ISERROR(VLOOKUP(C86,K:N,3,0)),"",VLOOKUP(C86,K:N,4,0))</f>
        <v>16044.34</v>
      </c>
      <c r="G86" s="236">
        <f>E86/D86</f>
        <v>0.9794303333333334</v>
      </c>
      <c r="H86" s="339"/>
    </row>
    <row r="87" spans="1:8" x14ac:dyDescent="0.25">
      <c r="A87" s="50" t="s">
        <v>481</v>
      </c>
      <c r="B87" s="231" t="s">
        <v>530</v>
      </c>
      <c r="C87" s="327" t="s">
        <v>654</v>
      </c>
      <c r="D87" s="290">
        <f>IF(ISERROR(VLOOKUP(C87,K:L,2,0)),"",VLOOKUP(C87,K:L,2,0))</f>
        <v>40000</v>
      </c>
      <c r="E87" s="234">
        <f>IF(ISERROR(VLOOKUP(C87,K:M,3,0)),"",VLOOKUP(C87,K:M,3,0))</f>
        <v>30018.86</v>
      </c>
      <c r="F87" s="234">
        <f>IF(ISERROR(VLOOKUP(C87,K:N,3,0)),"",VLOOKUP(C87,K:N,4,0))</f>
        <v>9981.14</v>
      </c>
      <c r="G87" s="236">
        <f>E87/D87</f>
        <v>0.75047150000000007</v>
      </c>
      <c r="H87" s="339"/>
    </row>
    <row r="88" spans="1:8" x14ac:dyDescent="0.25">
      <c r="A88" s="50" t="s">
        <v>477</v>
      </c>
      <c r="B88" s="231" t="s">
        <v>530</v>
      </c>
      <c r="C88" s="327"/>
      <c r="D88" s="290" t="str">
        <f>IF(ISERROR(VLOOKUP(C88,K:L,2,0)),"",VLOOKUP(C88,K:L,2,0))</f>
        <v/>
      </c>
      <c r="E88" s="234" t="str">
        <f>IF(ISERROR(VLOOKUP(C88,K:M,3,0)),"",VLOOKUP(C88,K:M,3,0))</f>
        <v/>
      </c>
      <c r="F88" s="234" t="str">
        <f>IF(ISERROR(VLOOKUP(C88,K:N,3,0)),"",VLOOKUP(C88,K:N,4,0))</f>
        <v/>
      </c>
      <c r="G88" s="236"/>
      <c r="H88" s="339"/>
    </row>
    <row r="89" spans="1:8" x14ac:dyDescent="0.25">
      <c r="A89" s="656" t="s">
        <v>483</v>
      </c>
      <c r="B89" s="675"/>
      <c r="C89" s="682"/>
      <c r="D89" s="227">
        <f>SUBTOTAL(109,D90:D94)</f>
        <v>534306.1</v>
      </c>
      <c r="E89" s="227">
        <f>SUBTOTAL(109,E90:E94)</f>
        <v>485024.7</v>
      </c>
      <c r="F89" s="227">
        <f>SUBTOTAL(109,F90:F94)</f>
        <v>49281.4</v>
      </c>
      <c r="G89" s="230">
        <f t="shared" si="6"/>
        <v>0.90776560477224577</v>
      </c>
      <c r="H89" s="370"/>
    </row>
    <row r="90" spans="1:8" ht="32.25" customHeight="1" x14ac:dyDescent="0.25">
      <c r="A90" s="50" t="s">
        <v>500</v>
      </c>
      <c r="B90" s="231" t="s">
        <v>530</v>
      </c>
      <c r="C90" s="232" t="s">
        <v>618</v>
      </c>
      <c r="D90" s="290">
        <f>IF(ISERROR(VLOOKUP(C90,K:L,2,0)),"",VLOOKUP(C90,K:L,2,0))</f>
        <v>270000</v>
      </c>
      <c r="E90" s="234">
        <f>IF(ISERROR(VLOOKUP(C90,K:M,3,0)),"",VLOOKUP(C90,K:M,3,0))</f>
        <v>247800</v>
      </c>
      <c r="F90" s="234">
        <f>IF(ISERROR(VLOOKUP(C90,K:N,3,0)),"",VLOOKUP(C90,K:N,4,0))</f>
        <v>22200</v>
      </c>
      <c r="G90" s="236">
        <f t="shared" si="6"/>
        <v>0.9177777777777778</v>
      </c>
      <c r="H90" s="339"/>
    </row>
    <row r="91" spans="1:8" ht="32.25" customHeight="1" x14ac:dyDescent="0.25">
      <c r="A91" s="50" t="s">
        <v>500</v>
      </c>
      <c r="B91" s="231" t="s">
        <v>530</v>
      </c>
      <c r="C91" s="232"/>
      <c r="D91" s="290" t="str">
        <f>IF(ISERROR(VLOOKUP(C91,K:L,2,0)),"",VLOOKUP(C91,K:L,2,0))</f>
        <v/>
      </c>
      <c r="E91" s="234" t="str">
        <f>IF(ISERROR(VLOOKUP(C91,K:M,3,0)),"",VLOOKUP(C91,K:M,3,0))</f>
        <v/>
      </c>
      <c r="F91" s="234" t="str">
        <f>IF(ISERROR(VLOOKUP(C91,K:N,3,0)),"",VLOOKUP(C91,K:N,4,0))</f>
        <v/>
      </c>
      <c r="G91" s="236"/>
      <c r="H91" s="339"/>
    </row>
    <row r="92" spans="1:8" ht="32.25" customHeight="1" x14ac:dyDescent="0.25">
      <c r="A92" s="50" t="s">
        <v>664</v>
      </c>
      <c r="B92" s="231" t="s">
        <v>530</v>
      </c>
      <c r="C92" s="232" t="s">
        <v>617</v>
      </c>
      <c r="D92" s="290">
        <f>IF(ISERROR(VLOOKUP(C92,K:L,2,0)),"",VLOOKUP(C92,K:L,2,0))</f>
        <v>245000</v>
      </c>
      <c r="E92" s="234">
        <f>IF(ISERROR(VLOOKUP(C92,K:M,3,0)),"",VLOOKUP(C92,K:M,3,0))</f>
        <v>219695</v>
      </c>
      <c r="F92" s="234">
        <f>IF(ISERROR(VLOOKUP(C92,K:N,3,0)),"",VLOOKUP(C92,K:N,4,0))</f>
        <v>25305</v>
      </c>
      <c r="G92" s="236">
        <f t="shared" si="6"/>
        <v>0.89671428571428569</v>
      </c>
      <c r="H92" s="339"/>
    </row>
    <row r="93" spans="1:8" ht="32.25" customHeight="1" x14ac:dyDescent="0.25">
      <c r="A93" s="50" t="s">
        <v>664</v>
      </c>
      <c r="B93" s="231" t="s">
        <v>530</v>
      </c>
      <c r="C93" s="232"/>
      <c r="D93" s="290" t="str">
        <f>IF(ISERROR(VLOOKUP(C93,K:L,2,0)),"",VLOOKUP(C93,K:L,2,0))</f>
        <v/>
      </c>
      <c r="E93" s="234" t="str">
        <f>IF(ISERROR(VLOOKUP(C93,K:M,3,0)),"",VLOOKUP(C93,K:M,3,0))</f>
        <v/>
      </c>
      <c r="F93" s="234" t="str">
        <f>IF(ISERROR(VLOOKUP(C93,K:N,3,0)),"",VLOOKUP(C93,K:N,4,0))</f>
        <v/>
      </c>
      <c r="G93" s="236"/>
      <c r="H93" s="339"/>
    </row>
    <row r="94" spans="1:8" ht="32.25" customHeight="1" x14ac:dyDescent="0.25">
      <c r="A94" s="347" t="s">
        <v>663</v>
      </c>
      <c r="B94" s="231" t="s">
        <v>530</v>
      </c>
      <c r="C94" s="232" t="s">
        <v>653</v>
      </c>
      <c r="D94" s="290">
        <f>IF(ISERROR(VLOOKUP(C94,K:L,2,0)),"",VLOOKUP(C94,K:L,2,0))</f>
        <v>19306.099999999999</v>
      </c>
      <c r="E94" s="234">
        <f>IF(ISERROR(VLOOKUP(C94,K:M,3,0)),"",VLOOKUP(C94,K:M,3,0))</f>
        <v>17529.7</v>
      </c>
      <c r="F94" s="234">
        <f>IF(ISERROR(VLOOKUP(C94,K:N,3,0)),"",VLOOKUP(C94,K:N,4,0))</f>
        <v>1776.4</v>
      </c>
      <c r="G94" s="236">
        <f t="shared" si="6"/>
        <v>0.90798763085242495</v>
      </c>
      <c r="H94" s="339"/>
    </row>
  </sheetData>
  <mergeCells count="48">
    <mergeCell ref="A23:C23"/>
    <mergeCell ref="A3:C3"/>
    <mergeCell ref="A5:C5"/>
    <mergeCell ref="A6:C6"/>
    <mergeCell ref="A8:C8"/>
    <mergeCell ref="A10:C10"/>
    <mergeCell ref="A13:C13"/>
    <mergeCell ref="A15:C15"/>
    <mergeCell ref="A17:C17"/>
    <mergeCell ref="A18:C18"/>
    <mergeCell ref="A19:A20"/>
    <mergeCell ref="A21:C21"/>
    <mergeCell ref="A41:C41"/>
    <mergeCell ref="A24:A25"/>
    <mergeCell ref="A26:C26"/>
    <mergeCell ref="A28:C28"/>
    <mergeCell ref="A29:A30"/>
    <mergeCell ref="A34:C34"/>
    <mergeCell ref="A37:C37"/>
    <mergeCell ref="A38:C38"/>
    <mergeCell ref="A39:A40"/>
    <mergeCell ref="A31:C31"/>
    <mergeCell ref="A32:A33"/>
    <mergeCell ref="A63:A64"/>
    <mergeCell ref="A43:C43"/>
    <mergeCell ref="A46:C46"/>
    <mergeCell ref="A48:C48"/>
    <mergeCell ref="A50:C50"/>
    <mergeCell ref="A51:C51"/>
    <mergeCell ref="A52:A53"/>
    <mergeCell ref="A54:C54"/>
    <mergeCell ref="A55:A56"/>
    <mergeCell ref="A57:C57"/>
    <mergeCell ref="A58:A61"/>
    <mergeCell ref="A62:C62"/>
    <mergeCell ref="A89:C89"/>
    <mergeCell ref="A65:C65"/>
    <mergeCell ref="A66:A67"/>
    <mergeCell ref="A68:C68"/>
    <mergeCell ref="A69:C69"/>
    <mergeCell ref="A71:C71"/>
    <mergeCell ref="A73:C73"/>
    <mergeCell ref="A74:A75"/>
    <mergeCell ref="A76:C76"/>
    <mergeCell ref="A78:C78"/>
    <mergeCell ref="A81:C81"/>
    <mergeCell ref="A82:C82"/>
    <mergeCell ref="A85:C8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f06849c-413f-45d8-b4f5-b4d7e46ca63d">
      <UserInfo>
        <DisplayName>Roseane Ramos Silva</DisplayName>
        <AccountId>44</AccountId>
        <AccountType/>
      </UserInfo>
      <UserInfo>
        <DisplayName>Ronaldo Adriano Fiuza Cardoso</DisplayName>
        <AccountId>53</AccountId>
        <AccountType/>
      </UserInfo>
      <UserInfo>
        <DisplayName>Lais Helena Custodio Rodrigues de Queiroz</DisplayName>
        <AccountId>55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079D0AA2CA0345B44F7A1DF4C7A65E" ma:contentTypeVersion="6" ma:contentTypeDescription="Crie um novo documento." ma:contentTypeScope="" ma:versionID="46c2c6f869d21d34dd4896149c472d65">
  <xsd:schema xmlns:xsd="http://www.w3.org/2001/XMLSchema" xmlns:xs="http://www.w3.org/2001/XMLSchema" xmlns:p="http://schemas.microsoft.com/office/2006/metadata/properties" xmlns:ns2="061fd0ee-b653-4799-ac4b-34e89113c043" xmlns:ns3="af06849c-413f-45d8-b4f5-b4d7e46ca63d" targetNamespace="http://schemas.microsoft.com/office/2006/metadata/properties" ma:root="true" ma:fieldsID="bbf6dbef32cb8644207440be1b2ad007" ns2:_="" ns3:_="">
    <xsd:import namespace="061fd0ee-b653-4799-ac4b-34e89113c043"/>
    <xsd:import namespace="af06849c-413f-45d8-b4f5-b4d7e46ca6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fd0ee-b653-4799-ac4b-34e89113c0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6849c-413f-45d8-b4f5-b4d7e46ca63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132F9E-E48B-4C4B-BC08-E51489588E5D}">
  <ds:schemaRefs>
    <ds:schemaRef ds:uri="http://schemas.microsoft.com/office/2006/metadata/properties"/>
    <ds:schemaRef ds:uri="http://schemas.microsoft.com/office/infopath/2007/PartnerControls"/>
    <ds:schemaRef ds:uri="af06849c-413f-45d8-b4f5-b4d7e46ca63d"/>
  </ds:schemaRefs>
</ds:datastoreItem>
</file>

<file path=customXml/itemProps2.xml><?xml version="1.0" encoding="utf-8"?>
<ds:datastoreItem xmlns:ds="http://schemas.openxmlformats.org/officeDocument/2006/customXml" ds:itemID="{2619FEE6-A713-4C87-91D9-C6CBD5BF8B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29AFEA-EFF1-40CE-BD31-C4D3D0205B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1fd0ee-b653-4799-ac4b-34e89113c043"/>
    <ds:schemaRef ds:uri="af06849c-413f-45d8-b4f5-b4d7e46ca6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2</vt:i4>
      </vt:variant>
    </vt:vector>
  </HeadingPairs>
  <TitlesOfParts>
    <vt:vector size="21" baseType="lpstr">
      <vt:lpstr>SEC.EXEC.</vt:lpstr>
      <vt:lpstr>LIMITE DE MOVIMENTAÇÃO EMPENHO</vt:lpstr>
      <vt:lpstr>Consolidado 2026</vt:lpstr>
      <vt:lpstr>2000 - SE</vt:lpstr>
      <vt:lpstr>216H - SE</vt:lpstr>
      <vt:lpstr>21FC - SENAPIR</vt:lpstr>
      <vt:lpstr>21FE - SQPT</vt:lpstr>
      <vt:lpstr>21FF - SEPAR</vt:lpstr>
      <vt:lpstr>Planilha8</vt:lpstr>
      <vt:lpstr>Restos a Pagar</vt:lpstr>
      <vt:lpstr>EMENDAS PARLAMENTARES</vt:lpstr>
      <vt:lpstr>DIÁRIAS E PASSAGENS - SCDP</vt:lpstr>
      <vt:lpstr>21FG - CNPIR</vt:lpstr>
      <vt:lpstr>21HN - SEPAR</vt:lpstr>
      <vt:lpstr>21HN - OUV</vt:lpstr>
      <vt:lpstr>4641- SE</vt:lpstr>
      <vt:lpstr>Planilha1</vt:lpstr>
      <vt:lpstr>Consolidado - Emendas RP6</vt:lpstr>
      <vt:lpstr>Diárias e Passagens</vt:lpstr>
      <vt:lpstr>'21FC - SENAPIR'!Area_de_impressao</vt:lpstr>
      <vt:lpstr>'21FE - SQPT'!Area_de_impressao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Rangel da Silva</dc:creator>
  <cp:keywords/>
  <dc:description/>
  <cp:lastModifiedBy>Fabiano Córdova de Moura</cp:lastModifiedBy>
  <cp:revision/>
  <dcterms:created xsi:type="dcterms:W3CDTF">2024-02-26T12:19:55Z</dcterms:created>
  <dcterms:modified xsi:type="dcterms:W3CDTF">2026-10-26T12:08:19Z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0x010100F1079D0AA2CA0345B44F7A1DF4C7A65E</vt:lpwstr>
  </property>
</Properties>
</file>